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erages" sheetId="1" state="visible" r:id="rId3"/>
    <sheet name="Let Agreed Listings" sheetId="2" state="visible" r:id="rId4"/>
  </sheets>
  <definedNames>
    <definedName function="false" hidden="true" localSheetId="1" name="_xlnm._FilterDatabase" vbProcedure="false">'Let Agreed Listings'!$A$1:$H$313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<sst xmlns="http://schemas.openxmlformats.org/spreadsheetml/2006/main" count="1607" uniqueCount="449">
  <si>
    <t xml:space="preserve">Belfast rent averages from let-agreed listings (BT7 and BT12)</t>
  </si>
  <si>
    <t xml:space="preserve">Source: PropertyPal let-agreed listings (PropertyNews shows the same listings). Pulled 19 Oct 2026. Excludes listings with hidden rent.</t>
  </si>
  <si>
    <t xml:space="preserve">BT7</t>
  </si>
  <si>
    <t xml:space="preserve">Rooms</t>
  </si>
  <si>
    <t xml:space="preserve">Listings</t>
  </si>
  <si>
    <t xml:space="preserve">Average rent</t>
  </si>
  <si>
    <t xml:space="preserve">Lowest</t>
  </si>
  <si>
    <t xml:space="preserve">Highest</t>
  </si>
  <si>
    <t xml:space="preserve">1 bed</t>
  </si>
  <si>
    <t xml:space="preserve">2 bed</t>
  </si>
  <si>
    <t xml:space="preserve">3 bed</t>
  </si>
  <si>
    <t xml:space="preserve">4 bed</t>
  </si>
  <si>
    <t xml:space="preserve">5 bed</t>
  </si>
  <si>
    <t xml:space="preserve">6+ bed</t>
  </si>
  <si>
    <t xml:space="preserve">Room in shared house</t>
  </si>
  <si>
    <t xml:space="preserve">All</t>
  </si>
  <si>
    <t xml:space="preserve">BT12</t>
  </si>
  <si>
    <t xml:space="preserve">Note: 6+ bed includes a handful of whole-building lets (8 or 9 bedrooms across three flats, marked in the Note column). Averages update if you edit or delete rows on the listings tab.</t>
  </si>
  <si>
    <t xml:space="preserve">Full address</t>
  </si>
  <si>
    <t xml:space="preserve">Rent/month (£)</t>
  </si>
  <si>
    <t xml:space="preserve">Area (BT)</t>
  </si>
  <si>
    <t xml:space="preserve">Let agreed date</t>
  </si>
  <si>
    <t xml:space="preserve">Property type</t>
  </si>
  <si>
    <t xml:space="preserve">Listing link</t>
  </si>
  <si>
    <t xml:space="preserve">Note</t>
  </si>
  <si>
    <t xml:space="preserve">D1.8 Whitehall Square, Belfast, BT12 5EU</t>
  </si>
  <si>
    <t xml:space="preserve">2026-10-15</t>
  </si>
  <si>
    <t xml:space="preserve">Apartment</t>
  </si>
  <si>
    <t xml:space="preserve">View</t>
  </si>
  <si>
    <t xml:space="preserve">3 Britannic Park, Sandy Row, Belfast, BT12 5HG</t>
  </si>
  <si>
    <t xml:space="preserve">2026-09-07</t>
  </si>
  <si>
    <t xml:space="preserve">Townhouse</t>
  </si>
  <si>
    <t xml:space="preserve">Apt 6 Oak Villa, 1 Sliabh Dubh View, Belfast, BT12 7SD</t>
  </si>
  <si>
    <t xml:space="preserve">36 Benburb Street, Belfast, BT12 6JG</t>
  </si>
  <si>
    <t xml:space="preserve">2026-10-05</t>
  </si>
  <si>
    <t xml:space="preserve">Mid-Terrace House</t>
  </si>
  <si>
    <t xml:space="preserve">34 Donegall Avenue, Belfast, BT12 6GP</t>
  </si>
  <si>
    <t xml:space="preserve">2026-10-13</t>
  </si>
  <si>
    <t xml:space="preserve">14 Empire Drive, Belfast, BT12 6GQ</t>
  </si>
  <si>
    <t xml:space="preserve">2026-07-31</t>
  </si>
  <si>
    <t xml:space="preserve">32 Rockview Street, Belfast, BT12 6JQ</t>
  </si>
  <si>
    <t xml:space="preserve">2026-10-16</t>
  </si>
  <si>
    <t xml:space="preserve">10 Olympia Parade, Belfast, BT12 6NT</t>
  </si>
  <si>
    <t xml:space="preserve">2026-10-06</t>
  </si>
  <si>
    <t xml:space="preserve">Terrace House</t>
  </si>
  <si>
    <t xml:space="preserve">44 Soudan Street, Donegall Road, Belfast South, Belfast, BT12 6LA</t>
  </si>
  <si>
    <t xml:space="preserve">2026-10-17</t>
  </si>
  <si>
    <t xml:space="preserve">16 Empire Parade, Belfast, BT12 6GN</t>
  </si>
  <si>
    <t xml:space="preserve">12 St Katherines Road, Belfast, BT12 6EF</t>
  </si>
  <si>
    <t xml:space="preserve">2026-07-23</t>
  </si>
  <si>
    <t xml:space="preserve">15 Lemberg Street, Belfast, BT12 6GH</t>
  </si>
  <si>
    <t xml:space="preserve">14 Egeria Street, Belfast, BT12 5PN</t>
  </si>
  <si>
    <t xml:space="preserve">2026-08-20</t>
  </si>
  <si>
    <t xml:space="preserve">16 Richview Street, Donegall Road, Belfast, BT12 6GP</t>
  </si>
  <si>
    <t xml:space="preserve">2026-09-28</t>
  </si>
  <si>
    <t xml:space="preserve">189 Donegall Avenue, Belfast, BT12 6LU</t>
  </si>
  <si>
    <t xml:space="preserve">2026-09-23</t>
  </si>
  <si>
    <t xml:space="preserve">44 Runnymede Parade, Belfast, BT12 6NF</t>
  </si>
  <si>
    <t xml:space="preserve">2026-07-16</t>
  </si>
  <si>
    <t xml:space="preserve">149 Ebor Street, Belfast, BT12 6NP</t>
  </si>
  <si>
    <t xml:space="preserve">2026-07-28</t>
  </si>
  <si>
    <t xml:space="preserve">40 Benburb Street, Belfast, BT12 6JG</t>
  </si>
  <si>
    <t xml:space="preserve">2026-09-09</t>
  </si>
  <si>
    <t xml:space="preserve">End-Terrace House</t>
  </si>
  <si>
    <t xml:space="preserve">39 Donegall Avenue, Belfast, BT12 6LS</t>
  </si>
  <si>
    <t xml:space="preserve">2026-07-15</t>
  </si>
  <si>
    <t xml:space="preserve">38 Prince Andrew Park, Belfast, BT12 5PW</t>
  </si>
  <si>
    <t xml:space="preserve">2026-08-17</t>
  </si>
  <si>
    <t xml:space="preserve">89 Victoria Place, Wellwood Street, Belfast, BT12 5GF</t>
  </si>
  <si>
    <t xml:space="preserve">2026-09-29</t>
  </si>
  <si>
    <t xml:space="preserve">130 Victoria Place, 20 Wellwood Street, Belfast, BT12 5GF</t>
  </si>
  <si>
    <t xml:space="preserve">2026-07-10</t>
  </si>
  <si>
    <t xml:space="preserve">Flat</t>
  </si>
  <si>
    <t xml:space="preserve">92 Victoria Place, City Centre, Belfast, BT12 5GE</t>
  </si>
  <si>
    <t xml:space="preserve">3rd Floor Apartment</t>
  </si>
  <si>
    <t xml:space="preserve">E2.1 Whitehall Square, Belfast, BT12 5EU</t>
  </si>
  <si>
    <t xml:space="preserve">34 Lemberg Street, Belfast, BT12 6GH</t>
  </si>
  <si>
    <t xml:space="preserve">29 Donegall Avenue, Belfast, BT12 6LS</t>
  </si>
  <si>
    <t xml:space="preserve">2026-10-12</t>
  </si>
  <si>
    <t xml:space="preserve">379 Donegall Road, Belfast, BT12 6FR</t>
  </si>
  <si>
    <t xml:space="preserve">18 Broadway Link, Belfast, BT12 6EX</t>
  </si>
  <si>
    <t xml:space="preserve">2026-07-02</t>
  </si>
  <si>
    <t xml:space="preserve">Semi-Detached House</t>
  </si>
  <si>
    <t xml:space="preserve">349 Donegall Road ( Non-HMO), Belfast, BT12 6FQ</t>
  </si>
  <si>
    <t xml:space="preserve">2026-07-03</t>
  </si>
  <si>
    <t xml:space="preserve">308 Donegall Road, Belfast, BT12 6FX</t>
  </si>
  <si>
    <t xml:space="preserve">2026-09-08</t>
  </si>
  <si>
    <t xml:space="preserve">29 Malone Place, Off Lisburn Road, Belfast, BT12 5FD</t>
  </si>
  <si>
    <t xml:space="preserve">2026-08-11</t>
  </si>
  <si>
    <t xml:space="preserve">5 Magdala Street, Belfast, BT7 1PU</t>
  </si>
  <si>
    <t xml:space="preserve">Room</t>
  </si>
  <si>
    <t xml:space="preserve">2026-09-14</t>
  </si>
  <si>
    <t xml:space="preserve">2026-09-20</t>
  </si>
  <si>
    <t xml:space="preserve">University Street, Room 2, All Bills Included, Belfast, BT7 1FZ</t>
  </si>
  <si>
    <t xml:space="preserve">2026-08-05</t>
  </si>
  <si>
    <t xml:space="preserve">53 Haypark Avenue, Belfast, BT7 3FE</t>
  </si>
  <si>
    <t xml:space="preserve">2026-08-13</t>
  </si>
  <si>
    <t xml:space="preserve">Flat 3, 70 University Street, Belfast, BT7 1HB</t>
  </si>
  <si>
    <t xml:space="preserve">2026-06-09</t>
  </si>
  <si>
    <t xml:space="preserve">1st Floor Flat</t>
  </si>
  <si>
    <t xml:space="preserve">Apt 3, 53 University Street, Belfast, BT7 1FY</t>
  </si>
  <si>
    <t xml:space="preserve">2026-06-29</t>
  </si>
  <si>
    <t xml:space="preserve">Studio Apartment</t>
  </si>
  <si>
    <t xml:space="preserve">8, 17 Fitzroy Avenue, Belfast, BT7 1HS</t>
  </si>
  <si>
    <t xml:space="preserve">2026-04-27</t>
  </si>
  <si>
    <t xml:space="preserve">2nd Floor Apartment</t>
  </si>
  <si>
    <t xml:space="preserve">5, 66 University Street, Botanic, Belfast, BT7 1HB</t>
  </si>
  <si>
    <t xml:space="preserve">2026-05-12</t>
  </si>
  <si>
    <t xml:space="preserve">Flat 1, 46 College Park Avenue, Belfast, BT7 1LR</t>
  </si>
  <si>
    <t xml:space="preserve">1, 70 University Avenue, Belfast, BT7 1GX</t>
  </si>
  <si>
    <t xml:space="preserve">1, 19 Lawrence Street, Botanic, Belfast, BT7 1LE</t>
  </si>
  <si>
    <t xml:space="preserve">2026-07-09</t>
  </si>
  <si>
    <t xml:space="preserve">Apt 3, 22 Cromwell Road, Belfast, BT7 1JW</t>
  </si>
  <si>
    <t xml:space="preserve">41A Agincourt Avenue, Queens Quarter, Belfast, BT7 1QA</t>
  </si>
  <si>
    <t xml:space="preserve">2026-10-14</t>
  </si>
  <si>
    <t xml:space="preserve">Ground Floor Apartment</t>
  </si>
  <si>
    <t xml:space="preserve">41D Agincourt Avenue, Queens University Qua, Belfast, BT7 1QA</t>
  </si>
  <si>
    <t xml:space="preserve">1st Floor Apartment</t>
  </si>
  <si>
    <t xml:space="preserve">Westminster Street, Belfast, BT7 1HP</t>
  </si>
  <si>
    <t xml:space="preserve">2026-09-10</t>
  </si>
  <si>
    <t xml:space="preserve">Ground Floor Flat</t>
  </si>
  <si>
    <t xml:space="preserve">18A Magdala Street, Belfast, BT7 1PU</t>
  </si>
  <si>
    <t xml:space="preserve">39 Salisbury Court, Belfast, BT7 1DD</t>
  </si>
  <si>
    <t xml:space="preserve">2026-05-28</t>
  </si>
  <si>
    <t xml:space="preserve">41A Agincourt Avenue, Queens University Quarter, Belfast, BT7 1QA</t>
  </si>
  <si>
    <t xml:space="preserve">3, 2 Wolseley Street, Belfast, BT7 1LG</t>
  </si>
  <si>
    <t xml:space="preserve">2026-05-18</t>
  </si>
  <si>
    <t xml:space="preserve">7B Canterbury Street, Belfast, Belfast, BT7 1LB</t>
  </si>
  <si>
    <t xml:space="preserve">2026-03-29</t>
  </si>
  <si>
    <t xml:space="preserve">41D Agincourt Avenue, Queens Quarter, Belfast, BT7 1QA</t>
  </si>
  <si>
    <t xml:space="preserve">8A Westminster Street, Botanic Area ~ Behind Queens, Belfast, BT7 1HP</t>
  </si>
  <si>
    <t xml:space="preserve">2026-04-04</t>
  </si>
  <si>
    <t xml:space="preserve">5A Canterbury Street, Queens Botanic Area, Belfast, BT7 1LB</t>
  </si>
  <si>
    <t xml:space="preserve">41E Agincourt Avenue, Queens Quarter, Belfast, BT7 1QA</t>
  </si>
  <si>
    <t xml:space="preserve">Fitzwilliam Mews, 101D Rugby Avenue, Queens Quarter, Belfast, BT7 1QA</t>
  </si>
  <si>
    <t xml:space="preserve">2026-03-30</t>
  </si>
  <si>
    <t xml:space="preserve">93A University Avenue, Queens Quarter, Belfast, BT7 1GX</t>
  </si>
  <si>
    <t xml:space="preserve">7C Canterbury Street, Botanic Area ~ Behind Queens Un, Belfast, BT7 1LB</t>
  </si>
  <si>
    <t xml:space="preserve">101B Rugby Avenue, Fitzwilliam Mews, Belfast, BT7 1QA</t>
  </si>
  <si>
    <t xml:space="preserve">2026-03-04</t>
  </si>
  <si>
    <t xml:space="preserve">2C DUDLEY STREET, Queens Quarter, Belfast, BT7 1GW</t>
  </si>
  <si>
    <t xml:space="preserve">2026-06-25</t>
  </si>
  <si>
    <t xml:space="preserve">Agincourt Avenue, Queens Quarter, Belfast, BT7 1QA</t>
  </si>
  <si>
    <t xml:space="preserve">2026-09-17</t>
  </si>
  <si>
    <t xml:space="preserve">101A Rugby Avenue, Queens Quarter, Belfast, BT7 1RE</t>
  </si>
  <si>
    <t xml:space="preserve">20A Fitzroy Avenue, Queens Quarter!, Belfast, BT7 1HW</t>
  </si>
  <si>
    <t xml:space="preserve">Apt 1, 2 Wolseley Street, Belfast, BT7 1LG</t>
  </si>
  <si>
    <t xml:space="preserve">4a Botanic Court, Rugby Road, Belfast, BT7 1QY</t>
  </si>
  <si>
    <t xml:space="preserve">19, Annadale Mews, Belfast, BT7 3LR</t>
  </si>
  <si>
    <t xml:space="preserve">Flat 4, 77 Fitzroy Avenue, Belfast, BT7 1HT</t>
  </si>
  <si>
    <t xml:space="preserve">2026-10-19</t>
  </si>
  <si>
    <t xml:space="preserve">3rd Floor Flat</t>
  </si>
  <si>
    <t xml:space="preserve">Flat 1, 23 Magdala Street, Belfast, BT7 1PU</t>
  </si>
  <si>
    <t xml:space="preserve">2026-09-04</t>
  </si>
  <si>
    <t xml:space="preserve">33 Delhi Street, Belfast, BT7 3AJ</t>
  </si>
  <si>
    <t xml:space="preserve">Apt 402 Park Avenue, Bankmore Street, Belfast, BT7 1AQ</t>
  </si>
  <si>
    <t xml:space="preserve">2026-09-02</t>
  </si>
  <si>
    <t xml:space="preserve">702 Portland 88, 55 Ormeau Road, Belfast, BT7 1FE</t>
  </si>
  <si>
    <t xml:space="preserve">602 Portland 88, 55 Ormeau Road, Belfast, BT7 1FE</t>
  </si>
  <si>
    <t xml:space="preserve">2026-06-23</t>
  </si>
  <si>
    <t xml:space="preserve">3, 32 Wolseley Street, Botanic, Belfast, BT7 1LG</t>
  </si>
  <si>
    <t xml:space="preserve">2026-09-16</t>
  </si>
  <si>
    <t xml:space="preserve">51 Stewart Street, City Centre, Belfast, BT7 2BT</t>
  </si>
  <si>
    <t xml:space="preserve">2026-05-11</t>
  </si>
  <si>
    <t xml:space="preserve">Apt 3, 84 Fitzroy Avenue, Belfast, BT7 1HX</t>
  </si>
  <si>
    <t xml:space="preserve">2026-05-22</t>
  </si>
  <si>
    <t xml:space="preserve">2nd Floor Flat</t>
  </si>
  <si>
    <t xml:space="preserve">4, 101 Fitzroy Avenue, Belfast, BT7 1HU</t>
  </si>
  <si>
    <t xml:space="preserve">2026-07-07</t>
  </si>
  <si>
    <t xml:space="preserve">2, 74 Cromwell Road, Botanic, Belfast, BT7 1JY</t>
  </si>
  <si>
    <t xml:space="preserve">2026-05-06</t>
  </si>
  <si>
    <t xml:space="preserve">Flat 4-23 India Street, Belfast, BT7 1LJ</t>
  </si>
  <si>
    <t xml:space="preserve">2, 2 Wolseley Street, Belfast, BT7 1LG</t>
  </si>
  <si>
    <t xml:space="preserve">2026-06-06</t>
  </si>
  <si>
    <t xml:space="preserve">Flat 2, 1 Lawrence Street, Botanic, Belfast, BT7 1LE</t>
  </si>
  <si>
    <t xml:space="preserve">1, 16 Lawrence Street, Botanic, Belfast, BT7 1LF</t>
  </si>
  <si>
    <t xml:space="preserve">2026-06-01</t>
  </si>
  <si>
    <t xml:space="preserve">1, 33 Cromwell Road, Botanic, Belfast, BT7 1JW</t>
  </si>
  <si>
    <t xml:space="preserve">2026-04-30</t>
  </si>
  <si>
    <t xml:space="preserve">73A Agincourt Avenue, Queens Quarter, Belfast, BT7 1QB</t>
  </si>
  <si>
    <t xml:space="preserve">2026-05-19</t>
  </si>
  <si>
    <t xml:space="preserve">19A Dunluce Avenue, Lisburn Road, Belfast, BT7 1GW</t>
  </si>
  <si>
    <t xml:space="preserve">Apt 2, 43 Sunnyside Street, Ormeau, Belfast, BT7 3EX</t>
  </si>
  <si>
    <t xml:space="preserve">Duplex Apartment</t>
  </si>
  <si>
    <t xml:space="preserve">Apartment 2 1 Rosetta Avenue, Belfast, BT7 3HG</t>
  </si>
  <si>
    <t xml:space="preserve">1, 28 Magdala Street, Belfast, BT7 1PU</t>
  </si>
  <si>
    <t xml:space="preserve">53E Agincourt Avenue, University Quarter!, Belfast, BT7 1QA</t>
  </si>
  <si>
    <t xml:space="preserve">1, Ashburne Place, Belfast, BT7 1SE</t>
  </si>
  <si>
    <t xml:space="preserve">2026-07-22</t>
  </si>
  <si>
    <t xml:space="preserve">Apartment / Flat</t>
  </si>
  <si>
    <t xml:space="preserve">131C University Avenue, Queens University Quarter, Belfast, BT7 1GZ</t>
  </si>
  <si>
    <t xml:space="preserve">Apt 2 Nova Studios, 167 University Street, Ormeau Road, Belfast, BT7 1HR</t>
  </si>
  <si>
    <t xml:space="preserve">2026-08-18</t>
  </si>
  <si>
    <t xml:space="preserve">7 Jerusalem Street, Queens University Quarter, Belfast, BT7 1QN</t>
  </si>
  <si>
    <t xml:space="preserve">1, 21 Lawrence Street, University Street, Belfast, BT7 1LE</t>
  </si>
  <si>
    <t xml:space="preserve">2026-07-06</t>
  </si>
  <si>
    <t xml:space="preserve">Apt 2, 84 Fitzroy Avenue, Belfast, BT7 1HX</t>
  </si>
  <si>
    <t xml:space="preserve">2026-04-29</t>
  </si>
  <si>
    <t xml:space="preserve">24 Damascus Street, Queens Quarter!, Belfast, BT7 1QQ</t>
  </si>
  <si>
    <t xml:space="preserve">2026-03-03</t>
  </si>
  <si>
    <t xml:space="preserve">53D Agincourt Avenue, Queens University Quarter, Belfast, BT7 1QB</t>
  </si>
  <si>
    <t xml:space="preserve">4A Magdala Street, Queens Quarter, Belfast, BT7 1PU</t>
  </si>
  <si>
    <t xml:space="preserve">44B Damascus Street, University Quarter!, Belfast, BT7 1QA</t>
  </si>
  <si>
    <t xml:space="preserve">28 Palestine Street, Queens Quarter, Belfast, BT7 1QJ</t>
  </si>
  <si>
    <t xml:space="preserve">53F Agincourt Avenue, University Quarter!, Belfast, BT7 1QA</t>
  </si>
  <si>
    <t xml:space="preserve">4A Magdala Street, Botanic Area ~ Behind Queens, Belfast, BT7 1PU</t>
  </si>
  <si>
    <t xml:space="preserve">44A Damascus Street, Queens Quarter, Belfast, BT7 1QA</t>
  </si>
  <si>
    <t xml:space="preserve">1 Hatfield Street, Ormeau Road, Belfast, BT7 2FB</t>
  </si>
  <si>
    <t xml:space="preserve">Fitzwilliam Mews, 101C Rugby Avenue, Queens Quarter, Belfast, BT7 1QA</t>
  </si>
  <si>
    <t xml:space="preserve">58 Agincourt Avenue, University Quarter!, Belfast, BT7 1QA</t>
  </si>
  <si>
    <t xml:space="preserve">101E Rugby Avenue, Queens Quarter, Belfast, BT7 1GX</t>
  </si>
  <si>
    <t xml:space="preserve">53F Agincourt Avenue, Queens Quarter, Belfast, BT7 1QA</t>
  </si>
  <si>
    <t xml:space="preserve">44B Damascus Street, Queens University Area, Belfast, BT7 1QB</t>
  </si>
  <si>
    <t xml:space="preserve">1C Magdala Street, Queens Quarter!, Belfast, BT7 1PU</t>
  </si>
  <si>
    <t xml:space="preserve">53E Agincourt Avenue, Queens Quarter, Belfast, BT7 1QA</t>
  </si>
  <si>
    <t xml:space="preserve">Carmel Street, Belfast, Belfast, BT7 1QE</t>
  </si>
  <si>
    <t xml:space="preserve">101C Rugby Avenue, Fitzwilliam Mews, Belfast, BT7 1QA</t>
  </si>
  <si>
    <t xml:space="preserve">44A Damascus Street, Great Apartment, Belfast, BT7 1GY</t>
  </si>
  <si>
    <t xml:space="preserve">1B Magdala Street, Queens Quarter, Belfast, BT7 1PU</t>
  </si>
  <si>
    <t xml:space="preserve">18B Magdala Street, Queens ~ Botanic Quarter!, Belfast, BT7 1PU</t>
  </si>
  <si>
    <t xml:space="preserve">Jerusalem Street, Queens Quarter, Belfast, BT7 1QP</t>
  </si>
  <si>
    <t xml:space="preserve">53D Agincourt Avenue, Queens Quarter, Belfast, BT7 1QB</t>
  </si>
  <si>
    <t xml:space="preserve">24 Damascus Street, Queens Quarter, Belfast, BT7 1QR</t>
  </si>
  <si>
    <t xml:space="preserve">2, 27 Rugby Avenue, Belfast, BT7 1RD</t>
  </si>
  <si>
    <t xml:space="preserve">2026-08-26</t>
  </si>
  <si>
    <t xml:space="preserve">34 Salisbury Street, Belfast, BT7 1AH</t>
  </si>
  <si>
    <t xml:space="preserve">2026-09-01</t>
  </si>
  <si>
    <t xml:space="preserve">Apartment 9, 8 Cromwell Road, Botanic Avenue, Belfast, BT7 1JW</t>
  </si>
  <si>
    <t xml:space="preserve">2026-06-15</t>
  </si>
  <si>
    <t xml:space="preserve">3, 27 Cromwell Road, Botanic, Belfast, BT7 1JW</t>
  </si>
  <si>
    <t xml:space="preserve">2026-05-15</t>
  </si>
  <si>
    <t xml:space="preserve">11A Rushfield Avenue, Off Ormeau Road, Belfast, BT7 3FP</t>
  </si>
  <si>
    <t xml:space="preserve">2026-08-10</t>
  </si>
  <si>
    <t xml:space="preserve">Flat 4, 78 Fitzroy Avenue, Belfast, BT7 1HX</t>
  </si>
  <si>
    <t xml:space="preserve">Flat 1, 77 Fitzroy Avenue, Belfast, BT7 1HT</t>
  </si>
  <si>
    <t xml:space="preserve">207 Somerset Studios, Marcus Ward Street, Belfast, BT7 1RP</t>
  </si>
  <si>
    <t xml:space="preserve">Flat 1, 30 Magdala Street, Belfast, BT7 1PU</t>
  </si>
  <si>
    <t xml:space="preserve">2026-06-05</t>
  </si>
  <si>
    <t xml:space="preserve">Flat 1, 51 Magdala Street, Belfast, BT7 1PU</t>
  </si>
  <si>
    <t xml:space="preserve">Flat 1, 95 University Avenue, Belfast, BT7 1GX</t>
  </si>
  <si>
    <t xml:space="preserve">2026-08-28</t>
  </si>
  <si>
    <t xml:space="preserve">Apartment 4 90 University Street Botanic Avenue -, Belfast, BT7 1HP</t>
  </si>
  <si>
    <t xml:space="preserve">2026-09-03</t>
  </si>
  <si>
    <t xml:space="preserve">Flat 3, 78 Fitzroy Avenue, Belfast, BT7 1HX</t>
  </si>
  <si>
    <t xml:space="preserve">9 St Johns Square, Belfast, BT7 3HS</t>
  </si>
  <si>
    <t xml:space="preserve">2026-10-08</t>
  </si>
  <si>
    <t xml:space="preserve">Apt 27 The Hull Building, Annadale Crescent, Belfast, BT7 3NE</t>
  </si>
  <si>
    <t xml:space="preserve">2026-07-30</t>
  </si>
  <si>
    <t xml:space="preserve">1, 162 Ormeau Road, Belfast, BT7 2ED</t>
  </si>
  <si>
    <t xml:space="preserve">15 Rugby Square, Rugby Parade, Belfast, BT7 1PY</t>
  </si>
  <si>
    <t xml:space="preserve">165C University Street, Queens University Quarter, Belfast, BT7 1HR</t>
  </si>
  <si>
    <t xml:space="preserve">Apt 17 The Hull Building, 35 Annadale Crescent, Belfast, BT7 3NE</t>
  </si>
  <si>
    <t xml:space="preserve">2026-06-30</t>
  </si>
  <si>
    <t xml:space="preserve">165 University Street, Queens Quarter, Belfast, BT7 1HR</t>
  </si>
  <si>
    <t xml:space="preserve">3, 11 Ireton Street, Botanic, Belfast, BT7 1LH</t>
  </si>
  <si>
    <t xml:space="preserve">165E University Street, Queens Quarter, Belfast, BT7 1HR</t>
  </si>
  <si>
    <t xml:space="preserve">165D University Street, Queens Quarter, Belfast, BT7 1HR</t>
  </si>
  <si>
    <t xml:space="preserve">165C University Street, Queens Quarter!, Belfast, BT7 1GX</t>
  </si>
  <si>
    <t xml:space="preserve">165F University Street, Queens Quarter, Belfast, BT7 1HR</t>
  </si>
  <si>
    <t xml:space="preserve">165B University Street, Queens Quarter, Belfast, BT7 1HR</t>
  </si>
  <si>
    <t xml:space="preserve">165C University Street, Queens Quarter, Belfast, BT7 1HR</t>
  </si>
  <si>
    <t xml:space="preserve">8 Shaftesbury Court, Off Dublin Road, Belfast, BT7 1RY</t>
  </si>
  <si>
    <t xml:space="preserve">2026-10-10</t>
  </si>
  <si>
    <t xml:space="preserve">34C Magdala Street, Queens Quarter, Belfast, BT7 1PU</t>
  </si>
  <si>
    <t xml:space="preserve">Apt 14 Shaftesbury Court, 3 Marcus Ward Street, Belfast, BT7 1RY</t>
  </si>
  <si>
    <t xml:space="preserve">Apt 5, 48 Rossmore Drive, Ormeau, Belfast, BT7 3LA</t>
  </si>
  <si>
    <t xml:space="preserve">2026-10-18</t>
  </si>
  <si>
    <t xml:space="preserve">48 Rossmore Drive, Belfast, BT7 3LA</t>
  </si>
  <si>
    <t xml:space="preserve">2026-10-01</t>
  </si>
  <si>
    <t xml:space="preserve">72 Beech Heights, Belfast, BT7 3LQ</t>
  </si>
  <si>
    <t xml:space="preserve">Apt 2, 16 Annadale Avenue, Belfast, BT7 3JH</t>
  </si>
  <si>
    <t xml:space="preserve">47 The Boulevard, Belfast, BT7 3LN</t>
  </si>
  <si>
    <t xml:space="preserve">Apt 30, 19 Bridge House, Wellington Square, Belfast, BT7 3LL</t>
  </si>
  <si>
    <t xml:space="preserve">11 Haywood Avenue, Ormeau Road, Belfast, BT7 3EU</t>
  </si>
  <si>
    <t xml:space="preserve">101 The Bakery, 311 Ormeau Road, Belfast, BT7 3GA</t>
  </si>
  <si>
    <t xml:space="preserve">507 Portland 88, 55 Ormeau Road, Belfast, BT7 1FD</t>
  </si>
  <si>
    <t xml:space="preserve">2026-05-29</t>
  </si>
  <si>
    <t xml:space="preserve">Apartment 21 35 The Hull Building, Annadale Crescent, Belfast, BT7 3NE</t>
  </si>
  <si>
    <t xml:space="preserve">81b Botanic Avenue, Belfast, BT7 1JL</t>
  </si>
  <si>
    <t xml:space="preserve">9 Shaftesbury Court, 3 Marcus Ward Street, Belfast, BT7 1RY</t>
  </si>
  <si>
    <t xml:space="preserve">213 The Bakery, 311 Ormeau Road, Belfast, BT7 3GA</t>
  </si>
  <si>
    <t xml:space="preserve">408 Portland 88, 55 Ormeau Road, Belfast, BT7 1FD</t>
  </si>
  <si>
    <t xml:space="preserve">2026-09-21</t>
  </si>
  <si>
    <t xml:space="preserve">208 Portland 88, 55 Ormeau Road, Belfast, BT7 1FD</t>
  </si>
  <si>
    <t xml:space="preserve">2026-06-24</t>
  </si>
  <si>
    <t xml:space="preserve">328 The Bakery, 311 Ormeau Road, Belfast, BT7 3GB</t>
  </si>
  <si>
    <t xml:space="preserve">2026-07-29</t>
  </si>
  <si>
    <t xml:space="preserve">229 The Bakery, 311 Ormeau Road, Belfast, BT7 3GA</t>
  </si>
  <si>
    <t xml:space="preserve">2026-08-06</t>
  </si>
  <si>
    <t xml:space="preserve">214 Portland 88, 55 Ormeau Road, Belfast, BT7 1FD</t>
  </si>
  <si>
    <t xml:space="preserve">506 Portland 88, 55 Ormeau Road, Belfast, BT7 1FD</t>
  </si>
  <si>
    <t xml:space="preserve">2026-08-24</t>
  </si>
  <si>
    <t xml:space="preserve">414 Portland 88, 55 Ormeau Road, Belfast, BT7 1FE</t>
  </si>
  <si>
    <t xml:space="preserve">18 Jameson Street, Belfast, BT7 2GU</t>
  </si>
  <si>
    <t xml:space="preserve">29 Delhi Parade, Belfast, BT7 3AU</t>
  </si>
  <si>
    <t xml:space="preserve">2026-05-08</t>
  </si>
  <si>
    <t xml:space="preserve">1 Ava Drive, Belfast, BT7 3DW</t>
  </si>
  <si>
    <t xml:space="preserve">2026-06-02</t>
  </si>
  <si>
    <t xml:space="preserve">27 Jameson Street, Belfast, BT7 2GU</t>
  </si>
  <si>
    <t xml:space="preserve">2026-08-21</t>
  </si>
  <si>
    <t xml:space="preserve">93B University Avenue, Queens Quarter, Belfast, BT7 1GX</t>
  </si>
  <si>
    <t xml:space="preserve">59 Ava Street, Ormeau Road, Belfast, BT7 3BS</t>
  </si>
  <si>
    <t xml:space="preserve">14 Carmel Street, Queens University Quarter, Belfast, BT7 1QE</t>
  </si>
  <si>
    <t xml:space="preserve">2026-02-23</t>
  </si>
  <si>
    <t xml:space="preserve">29 Palestine Street, University Quarter!, Belfast, BT7 1QN</t>
  </si>
  <si>
    <t xml:space="preserve">23 Damascus Street, Queens Quarter, Belfast, BT7 1QQ</t>
  </si>
  <si>
    <t xml:space="preserve">17 Damascus Street, Queens Quarter, Belfast, BT7 1QQ</t>
  </si>
  <si>
    <t xml:space="preserve">42 Damascus Street, Queens Quarter, Belfast, BT7 1HX</t>
  </si>
  <si>
    <t xml:space="preserve">30 Cairo Street, Queens Quarter, Belfast, BT7 1RE</t>
  </si>
  <si>
    <t xml:space="preserve">28 Whitehall Parade, Belfast, BT7 3GX</t>
  </si>
  <si>
    <t xml:space="preserve">2026-09-27</t>
  </si>
  <si>
    <t xml:space="preserve">Flat 1-27 India Street, Belfast, BT7 1LJ</t>
  </si>
  <si>
    <t xml:space="preserve">2026-08-04</t>
  </si>
  <si>
    <t xml:space="preserve">University Avenue, Queens Quarter, Belfast, BT7 1GY</t>
  </si>
  <si>
    <t xml:space="preserve">10 Agincourt Street, Queens Quarter, Belfast, BT7 1QE</t>
  </si>
  <si>
    <t xml:space="preserve">6 Carmel Street, Queens Quarter, Belfast, BT7 1GY</t>
  </si>
  <si>
    <t xml:space="preserve">16 Powerscourt Place, Ormeau Road, Belfast, BT7 1FX</t>
  </si>
  <si>
    <t xml:space="preserve">Apt 9, 2 Beech Heights, Belfast, BT7 3LQ</t>
  </si>
  <si>
    <t xml:space="preserve">Ireton Street, Botanic Avenue, Belfast, BT7 1LH</t>
  </si>
  <si>
    <t xml:space="preserve">36A University Avenue, Queens Quarter!, Belfast, BT7 1GX</t>
  </si>
  <si>
    <t xml:space="preserve">20 Farnham Street, Ormeau Road, Belfast, BT7 2FN</t>
  </si>
  <si>
    <t xml:space="preserve">10 Ailesbury Gardens, Ormeau Road, Belfast, BT7 3FJ</t>
  </si>
  <si>
    <t xml:space="preserve">49 Cromwell Road Apt 6, Belfast, BT7 1JX</t>
  </si>
  <si>
    <t xml:space="preserve">Top Floor Apartment</t>
  </si>
  <si>
    <t xml:space="preserve">Apartment 8, 8 Cromwell Road, Botanic Avenue, Belfast, BT7 1JW</t>
  </si>
  <si>
    <t xml:space="preserve">2026-06-13</t>
  </si>
  <si>
    <t xml:space="preserve">Agincourt Avenue, Queens University Quarter, Belfast, BT7 1QA</t>
  </si>
  <si>
    <t xml:space="preserve">Apt 5 Acorn Hill, 9a Annadale Ave, Belfast, BT7 3JH</t>
  </si>
  <si>
    <t xml:space="preserve">79B University Avenue, Queens Quarter, Belfast, BT7 1GX</t>
  </si>
  <si>
    <t xml:space="preserve">46B Agincourt Avenue, Queens Quarter, Belfast, BT7 1QU</t>
  </si>
  <si>
    <t xml:space="preserve">79B University Avenue, Queens Quarter, Belfast, BT7 1GY</t>
  </si>
  <si>
    <t xml:space="preserve">76B Rugby Avenue, Queens Quarter, Belfast, BT7 1RG</t>
  </si>
  <si>
    <t xml:space="preserve">34B Magdala Street, Queens Botanic Area, Belfast, BT7 1PU</t>
  </si>
  <si>
    <t xml:space="preserve">79A University Avenue, Queens Quarter, Belfast, BT7 1GX</t>
  </si>
  <si>
    <t xml:space="preserve">4C Magdala Street, Botanic Area, Belfast, BT7 1PU</t>
  </si>
  <si>
    <t xml:space="preserve">76A Rugby Avenue, Queens Quarter, Belfast, BT7 1RG</t>
  </si>
  <si>
    <t xml:space="preserve">79C University Avenue, Belfast, Belfast, BT7 1GX</t>
  </si>
  <si>
    <t xml:space="preserve">16B Magdala Street, Queens Botanic Quarter, Belfast, BT7 1PU</t>
  </si>
  <si>
    <t xml:space="preserve">4B Magdala Street, University Quarter, Belfast, BT7 1PU</t>
  </si>
  <si>
    <t xml:space="preserve">79C University Avenue, Queens Quarter, Belfast, BT7 1GY</t>
  </si>
  <si>
    <t xml:space="preserve">Rugby Avenue, University Quarter!, Belfast, BT7 1RE</t>
  </si>
  <si>
    <t xml:space="preserve">76A Rugby Avenue, Queens University Quarter, Belfast, BT7 1RG</t>
  </si>
  <si>
    <t xml:space="preserve">Magdala Street, Botanic Area, Belfast, BT7 1PU</t>
  </si>
  <si>
    <t xml:space="preserve">16B Magdala Street, Queens Quarter, Belfast, BT7 1PU</t>
  </si>
  <si>
    <t xml:space="preserve">80C Fitzroy Avenue, Queens ~ Botanic Area!, Belfast, BT7 1HY</t>
  </si>
  <si>
    <t xml:space="preserve">80B Fitzroy Avenue, Queens Botanic Quarter, Belfast, BT7 1HX</t>
  </si>
  <si>
    <t xml:space="preserve">122B Fitzroy Avenue, Queens Quarter, Belfast, BT7 1HX</t>
  </si>
  <si>
    <t xml:space="preserve">18 The Boulevard, Wellington Square, Belfast, BT7 3LN</t>
  </si>
  <si>
    <t xml:space="preserve">Flat 2-73 Fitzroy Avenue, Belfast, BT7 1HT</t>
  </si>
  <si>
    <t xml:space="preserve">2026-08-12</t>
  </si>
  <si>
    <t xml:space="preserve">14 Sunnyside Crescent, Belfast, BT7 3DB</t>
  </si>
  <si>
    <t xml:space="preserve">4, 117 University Street, Belfast, BT7 1HP</t>
  </si>
  <si>
    <t xml:space="preserve">Flat 2-86 Fitzroy Avenue, Belfast, BT7 1HX</t>
  </si>
  <si>
    <t xml:space="preserve">30 Deramore Avenue, Ormeau Road, Belfast, BT7 3ER</t>
  </si>
  <si>
    <t xml:space="preserve">2026-08-01</t>
  </si>
  <si>
    <t xml:space="preserve">53C Agincourt Avenue, University Quarter!, Belfast, BT7 1QA</t>
  </si>
  <si>
    <t xml:space="preserve">Carmel Street, Queens University Quarter, Belfast, BT7 1QE</t>
  </si>
  <si>
    <t xml:space="preserve">Damascus Street, Queens Quarter, Belfast, BT7 1QQ</t>
  </si>
  <si>
    <t xml:space="preserve">26C University Avenue, Queen's Quarter, Belfast, BT7 1GY</t>
  </si>
  <si>
    <t xml:space="preserve">4C Magdala Street, Botanic Area ~ Behind Queens, Belfast, BT7 1PU</t>
  </si>
  <si>
    <t xml:space="preserve">26B University Avenue, Queens University Quarter, Belfast, BT7 1HB</t>
  </si>
  <si>
    <t xml:space="preserve">165A University Street, Queens Quarter, Belfast, BT7 1HR</t>
  </si>
  <si>
    <t xml:space="preserve">4B Magdala Street, Botanic Area~ Behind Queens, Belfast, BT7 1PU</t>
  </si>
  <si>
    <t xml:space="preserve">19 Florenceville Avenue, Ormeau Road, Belfast, BT7 3GZ</t>
  </si>
  <si>
    <t xml:space="preserve">6, 117 University Street, Belfast, BT7 1HP</t>
  </si>
  <si>
    <t xml:space="preserve">30 Beech Heights, Wellington Square, Belfast, BT7 3LQ</t>
  </si>
  <si>
    <t xml:space="preserve">Apt 11 Acorn Hill, 9B Annadale Avenue, Belfast, BT7 3JH</t>
  </si>
  <si>
    <t xml:space="preserve">2026-07-24</t>
  </si>
  <si>
    <t xml:space="preserve">118 University Avenue, Queens Quarter, Belfast, BT7 1GY</t>
  </si>
  <si>
    <t xml:space="preserve">2026-02-22</t>
  </si>
  <si>
    <t xml:space="preserve">Extended Mid-terrace</t>
  </si>
  <si>
    <t xml:space="preserve">32 Rutland Street, Belfast, BT7 2FJ</t>
  </si>
  <si>
    <t xml:space="preserve">2026-07-21</t>
  </si>
  <si>
    <t xml:space="preserve">8 Artana Street, Belfast, BT7 2FF</t>
  </si>
  <si>
    <t xml:space="preserve">2026-06-19</t>
  </si>
  <si>
    <t xml:space="preserve">6 Rugby Parade, Belfast, BT7 1PY</t>
  </si>
  <si>
    <t xml:space="preserve">3, 88 Fitzroy Avenue, Belfast, BT7 1HX</t>
  </si>
  <si>
    <t xml:space="preserve">2026-09-11</t>
  </si>
  <si>
    <t xml:space="preserve">2, 51 Magdala Street, Botanic, Belfast, BT7 1PU</t>
  </si>
  <si>
    <t xml:space="preserve">3, 20 Wolseley Street, University Street, Belfast, BT7 1LG</t>
  </si>
  <si>
    <t xml:space="preserve">27 Rushfield Avenue, Ormeau Road, Belfast, BT7 3FP</t>
  </si>
  <si>
    <t xml:space="preserve">Lawrence Street, Belfast, BT7 1LE</t>
  </si>
  <si>
    <t xml:space="preserve">68 Jerusalem Street, Holylands, Belfast, BT7 1QP</t>
  </si>
  <si>
    <t xml:space="preserve">50 Damascus Street, Queens Quarter, Belfast, BT7 1QR</t>
  </si>
  <si>
    <t xml:space="preserve">12 Curzon Street, Holylands, Belfast, BT7 1QU</t>
  </si>
  <si>
    <t xml:space="preserve">66C Rugby Avenue, University Quarter!, Belfast, BT7 1GZ</t>
  </si>
  <si>
    <t xml:space="preserve">53B Agincourt Avenue, Queens Quarter, Belfast, BT7 1QB</t>
  </si>
  <si>
    <t xml:space="preserve">16C Rugby Avenue, Queens Quarter, Belfast, BT7 1RG</t>
  </si>
  <si>
    <t xml:space="preserve">68C University Avenue, Queens Quarter, Belfast, BT7 1GY</t>
  </si>
  <si>
    <t xml:space="preserve">66B Rugby Avenue, University Quarter, Belfast, BT7 1GZ</t>
  </si>
  <si>
    <t xml:space="preserve">66C Rugby Avenue, Queens University Quarter, Belfast, BT7 1GZ</t>
  </si>
  <si>
    <t xml:space="preserve">68B University Avenue, Queens Quarter, Belfast, BT7 1GY</t>
  </si>
  <si>
    <t xml:space="preserve">122C Fitzroy Avenue, Queens Quarter ~ Botanic Area, Belfast, BT7 1HX</t>
  </si>
  <si>
    <t xml:space="preserve">53B Agincourt Avenue, University Quarter, Belfast, BT7 1QA</t>
  </si>
  <si>
    <t xml:space="preserve">16A Rugby Avenue, Queens Quarter, Belfast, BT7 1RG</t>
  </si>
  <si>
    <t xml:space="preserve">66B Rugby Avenue, Queens Quarter, Belfast, BT7 1RD</t>
  </si>
  <si>
    <t xml:space="preserve">66A Rugby Avenue, Queens Quarter, Belfast, BT7 1GZ</t>
  </si>
  <si>
    <t xml:space="preserve">16B Rugby Avenue, University Quarter!, Belfast, BT7 1RG</t>
  </si>
  <si>
    <t xml:space="preserve">51 Palestine Street, Queens Quarter!, Belfast, BT7 1QX</t>
  </si>
  <si>
    <t xml:space="preserve">49 Palestine Street, Queens Quarter, Belfast, BT7 1QJ</t>
  </si>
  <si>
    <t xml:space="preserve">2026-01-31</t>
  </si>
  <si>
    <t xml:space="preserve">Rugby Avenue, Queens Quarter!, Belfast, BT7 1RG</t>
  </si>
  <si>
    <t xml:space="preserve">66B Rugby Avenue, Queens Quarter, Belfast, BT7 1GZ</t>
  </si>
  <si>
    <t xml:space="preserve">122C Fitzroy Avenue, Queens Botanic Quarter, Belfast, BT7 1HX</t>
  </si>
  <si>
    <t xml:space="preserve">Rugby Avenue, Queens Quarter, Belfast, BT7 1RG</t>
  </si>
  <si>
    <t xml:space="preserve">53B Agincourt Avenue, Queens Quarter!, Belfast, BT7 1QB</t>
  </si>
  <si>
    <t xml:space="preserve">122A Fitzroy Avenue, Queens Quarter, Belfast, BT7 1HX</t>
  </si>
  <si>
    <t xml:space="preserve">8 Collingwood Avenue, Holylands, Belfast, BT7 1QT</t>
  </si>
  <si>
    <t xml:space="preserve">2026-08-19</t>
  </si>
  <si>
    <t xml:space="preserve">B, 7 Cameron Street, Botanic, Belfast, BT7 1GU</t>
  </si>
  <si>
    <t xml:space="preserve">2026-07-27</t>
  </si>
  <si>
    <t xml:space="preserve">52 Delhi Street, Off Ormeau Road, Belfast, BT7 3AL</t>
  </si>
  <si>
    <t xml:space="preserve">63 Rugby Avenue, Belfast, BT7 1RE</t>
  </si>
  <si>
    <t xml:space="preserve">65 Rugby Avenue, Belfast, BT7 1RE</t>
  </si>
  <si>
    <t xml:space="preserve">Cromwell Road, Botanic Avenue, Belfast, BT7 1JW</t>
  </si>
  <si>
    <t xml:space="preserve">36B University Avenue, Queens Quarter, Belfast, BT7 1GY</t>
  </si>
  <si>
    <t xml:space="preserve">26 Agincourt Street, Queens University Quarter, Belfast, BT7 1QA</t>
  </si>
  <si>
    <t xml:space="preserve">62A University Avenue, Queens Quarter, Belfast, BT7 1GY</t>
  </si>
  <si>
    <t xml:space="preserve">Split-Level Apartment</t>
  </si>
  <si>
    <t xml:space="preserve">26 Agincourt Street, Queens Quarter!, Belfast, BT7 1QA</t>
  </si>
  <si>
    <t xml:space="preserve">6 Ava Avenue, Ormeau Road, Belfast, BT7 3BN</t>
  </si>
  <si>
    <t xml:space="preserve">21 Palestine Street, Queens Quarter, Belfast, BT7 1QJ</t>
  </si>
  <si>
    <t xml:space="preserve">2 Penrose Street, Queens Quarter, Belfast, BT7 1QX</t>
  </si>
  <si>
    <t xml:space="preserve">26 Agincourt Street, Queens University Area, Belfast, BT7 1RB</t>
  </si>
  <si>
    <t xml:space="preserve">E, 97 Fitzroy Avenue, Belfast, BT7 1HU</t>
  </si>
  <si>
    <t xml:space="preserve">2026-06-17</t>
  </si>
  <si>
    <t xml:space="preserve">University Avenue, Belfast, BT7 1GX</t>
  </si>
  <si>
    <t xml:space="preserve">9 Fitzwilliam Square, Queens  Quarter, Belfast, BT7 1JH</t>
  </si>
  <si>
    <t xml:space="preserve">9 Fitzwilliam Square, Queens Quarter, Belfast, BT7 1JH</t>
  </si>
  <si>
    <t xml:space="preserve">Fitzroy Avenue, Queens Quarter!, Belfast, BT7 1HX</t>
  </si>
  <si>
    <t xml:space="preserve">120 University Avenue, University Area, Belfast, BT7 1GZ</t>
  </si>
  <si>
    <t xml:space="preserve">53 Balfour Avenue, Belfast, BT7 2EU</t>
  </si>
  <si>
    <t xml:space="preserve">2026-06-03</t>
  </si>
  <si>
    <t xml:space="preserve">61 Agincourt Avenue  10 MONTH LEASE AVAILABLE, Queens Quarter, Belfast, BT7 1QB</t>
  </si>
  <si>
    <t xml:space="preserve">Carmel Street, Queens Quarter, Belfast, BT7 1QE</t>
  </si>
  <si>
    <t xml:space="preserve">Agincourt Avenue, Queens Quarter, Belfast, BT7 1QB</t>
  </si>
  <si>
    <t xml:space="preserve">34 Magdala Street, Botanic Queens Quarter, Belfast, BT7 1PU</t>
  </si>
  <si>
    <t xml:space="preserve">73 Agincourt Avenue, Queens Quarter, Belfast, BT7 1QB</t>
  </si>
  <si>
    <t xml:space="preserve">Agincourt Avenue, University Quarter, Belfast, BT7 1QB</t>
  </si>
  <si>
    <t xml:space="preserve">54 Fitzroy Avenue, Queens University Quarter, Belfast, BT7 1HX</t>
  </si>
  <si>
    <t xml:space="preserve">Mid Townhouse</t>
  </si>
  <si>
    <t xml:space="preserve">34 Magdala Street, Botanic Area, Belfast, BT7 1PU</t>
  </si>
  <si>
    <t xml:space="preserve">Whole building (several flats) let together</t>
  </si>
  <si>
    <t xml:space="preserve">34 Magdala Street, Bot, Belfast, BT7 1PU</t>
  </si>
  <si>
    <t xml:space="preserve">34 Magdala Street, Queens Botanic Area, Belfast, BT7 1PU</t>
  </si>
  <si>
    <t xml:space="preserve">Magdala Street, Queens Quarter, Belfast, BT7 1PU</t>
  </si>
  <si>
    <t xml:space="preserve">76 Rugby Avenue, Queens, Belfast, BT7 1RG</t>
  </si>
  <si>
    <t xml:space="preserve">79 University Avenue, Queens Quarter, Belfast, BT7 1GY</t>
  </si>
  <si>
    <t xml:space="preserve">University Avenue, Queens Quarter, Belfast, BT7 1GX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</si>
</sst>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propertypal.com/d18-whitehall-square-belfast/947495" TargetMode="External"/><Relationship Id="rId2" Type="http://schemas.openxmlformats.org/officeDocument/2006/relationships/hyperlink" Target="https://www.propertypal.com/3-britannic-park-sandy-row-belfast/1080793" TargetMode="External"/><Relationship Id="rId3" Type="http://schemas.openxmlformats.org/officeDocument/2006/relationships/hyperlink" Target="https://www.propertypal.com/apt-6-oak-villa-1-sliabh-dubh-view-belfast/1128239" TargetMode="External"/><Relationship Id="rId4" Type="http://schemas.openxmlformats.org/officeDocument/2006/relationships/hyperlink" Target="https://www.propertypal.com/36-benburb-street-belfast/984027" TargetMode="External"/><Relationship Id="rId5" Type="http://schemas.openxmlformats.org/officeDocument/2006/relationships/hyperlink" Target="https://www.propertypal.com/34-donegall-avenue-belfast/620704" TargetMode="External"/><Relationship Id="rId6" Type="http://schemas.openxmlformats.org/officeDocument/2006/relationships/hyperlink" Target="https://www.propertypal.com/14-empire-drive-belfast/692408" TargetMode="External"/><Relationship Id="rId7" Type="http://schemas.openxmlformats.org/officeDocument/2006/relationships/hyperlink" Target="https://www.propertypal.com/32-rockview-street-belfast/1081637" TargetMode="External"/><Relationship Id="rId8" Type="http://schemas.openxmlformats.org/officeDocument/2006/relationships/hyperlink" Target="https://www.propertypal.com/10-olympia-parade-belfast/1106425" TargetMode="External"/><Relationship Id="rId9" Type="http://schemas.openxmlformats.org/officeDocument/2006/relationships/hyperlink" Target="https://www.propertypal.com/44-soudan-street-donegall-road-belfast-south-belfast/1101346" TargetMode="External"/><Relationship Id="rId10" Type="http://schemas.openxmlformats.org/officeDocument/2006/relationships/hyperlink" Target="https://www.propertypal.com/16-empire-parade-belfast/1090294" TargetMode="External"/><Relationship Id="rId11" Type="http://schemas.openxmlformats.org/officeDocument/2006/relationships/hyperlink" Target="https://www.propertypal.com/12-st-katherines-road-belfast/1088865" TargetMode="External"/><Relationship Id="rId12" Type="http://schemas.openxmlformats.org/officeDocument/2006/relationships/hyperlink" Target="https://www.propertypal.com/15-lemberg-street-belfast/965680" TargetMode="External"/><Relationship Id="rId13" Type="http://schemas.openxmlformats.org/officeDocument/2006/relationships/hyperlink" Target="https://www.propertypal.com/14-egeria-street-belfast/1096913" TargetMode="External"/><Relationship Id="rId14" Type="http://schemas.openxmlformats.org/officeDocument/2006/relationships/hyperlink" Target="https://www.propertypal.com/16-richview-street-donegall-road-belfast/1096645" TargetMode="External"/><Relationship Id="rId15" Type="http://schemas.openxmlformats.org/officeDocument/2006/relationships/hyperlink" Target="https://www.propertypal.com/189-donegall-avenue-belfast/1089776" TargetMode="External"/><Relationship Id="rId16" Type="http://schemas.openxmlformats.org/officeDocument/2006/relationships/hyperlink" Target="https://www.propertypal.com/44-runnymede-parade-belfast/1086098" TargetMode="External"/><Relationship Id="rId17" Type="http://schemas.openxmlformats.org/officeDocument/2006/relationships/hyperlink" Target="https://www.propertypal.com/149-ebor-street-belfast/1084841" TargetMode="External"/><Relationship Id="rId18" Type="http://schemas.openxmlformats.org/officeDocument/2006/relationships/hyperlink" Target="https://www.propertypal.com/40-benburb-street-belfast/1100655" TargetMode="External"/><Relationship Id="rId19" Type="http://schemas.openxmlformats.org/officeDocument/2006/relationships/hyperlink" Target="https://www.propertypal.com/39-donegall-avenue-belfast/767168" TargetMode="External"/><Relationship Id="rId20" Type="http://schemas.openxmlformats.org/officeDocument/2006/relationships/hyperlink" Target="https://www.propertypal.com/38-prince-andrew-park-belfast/1092866" TargetMode="External"/><Relationship Id="rId21" Type="http://schemas.openxmlformats.org/officeDocument/2006/relationships/hyperlink" Target="https://www.propertypal.com/89-victoria-place-wellwood-street-belfast/1100120" TargetMode="External"/><Relationship Id="rId22" Type="http://schemas.openxmlformats.org/officeDocument/2006/relationships/hyperlink" Target="https://www.propertypal.com/130-victoria-place-20-wellwood-street-belfast/1085682" TargetMode="External"/><Relationship Id="rId23" Type="http://schemas.openxmlformats.org/officeDocument/2006/relationships/hyperlink" Target="https://www.propertypal.com/92-victoria-place-city-centre-belfast/1088919" TargetMode="External"/><Relationship Id="rId24" Type="http://schemas.openxmlformats.org/officeDocument/2006/relationships/hyperlink" Target="https://www.propertypal.com/e21-whitehall-square-belfast/916327" TargetMode="External"/><Relationship Id="rId25" Type="http://schemas.openxmlformats.org/officeDocument/2006/relationships/hyperlink" Target="https://www.propertypal.com/34-lemberg-street-belfast/836914" TargetMode="External"/><Relationship Id="rId26" Type="http://schemas.openxmlformats.org/officeDocument/2006/relationships/hyperlink" Target="https://www.propertypal.com/29-donegall-avenue-belfast/1083375" TargetMode="External"/><Relationship Id="rId27" Type="http://schemas.openxmlformats.org/officeDocument/2006/relationships/hyperlink" Target="https://www.propertypal.com/379-donegall-road-belfast/1096982" TargetMode="External"/><Relationship Id="rId28" Type="http://schemas.openxmlformats.org/officeDocument/2006/relationships/hyperlink" Target="https://www.propertypal.com/18-broadway-link-belfast/624867" TargetMode="External"/><Relationship Id="rId29" Type="http://schemas.openxmlformats.org/officeDocument/2006/relationships/hyperlink" Target="https://www.propertypal.com/349-donegall-road-non-hmo-belfast/1084763" TargetMode="External"/><Relationship Id="rId30" Type="http://schemas.openxmlformats.org/officeDocument/2006/relationships/hyperlink" Target="https://www.propertypal.com/308-donegall-road-belfast/1099467" TargetMode="External"/><Relationship Id="rId31" Type="http://schemas.openxmlformats.org/officeDocument/2006/relationships/hyperlink" Target="https://www.propertypal.com/29-malone-place-off-lisburn-road-belfast/1012671" TargetMode="External"/><Relationship Id="rId32" Type="http://schemas.openxmlformats.org/officeDocument/2006/relationships/hyperlink" Target="https://www.propertypal.com/one-double-bedroom-available-5-magdala-street-belfast/1077312" TargetMode="External"/><Relationship Id="rId33" Type="http://schemas.openxmlformats.org/officeDocument/2006/relationships/hyperlink" Target="https://www.propertypal.com/room-a-double-bedroom-all-bills-included-5-magdala-street-belfast/1105455" TargetMode="External"/><Relationship Id="rId34" Type="http://schemas.openxmlformats.org/officeDocument/2006/relationships/hyperlink" Target="https://www.propertypal.com/university-street-room-2-all-bills-included-belfast/1005345" TargetMode="External"/><Relationship Id="rId35" Type="http://schemas.openxmlformats.org/officeDocument/2006/relationships/hyperlink" Target="https://www.propertypal.com/53-haypark-avenue-belfast/1085708" TargetMode="External"/><Relationship Id="rId36" Type="http://schemas.openxmlformats.org/officeDocument/2006/relationships/hyperlink" Target="https://www.propertypal.com/flat-3-70-university-street-belfast/815753" TargetMode="External"/><Relationship Id="rId37" Type="http://schemas.openxmlformats.org/officeDocument/2006/relationships/hyperlink" Target="https://www.propertypal.com/apt-3-53-university-street-belfast/113966" TargetMode="External"/><Relationship Id="rId38" Type="http://schemas.openxmlformats.org/officeDocument/2006/relationships/hyperlink" Target="https://www.propertypal.com/8-17-fitzroy-avenue-belfast/1069964" TargetMode="External"/><Relationship Id="rId39" Type="http://schemas.openxmlformats.org/officeDocument/2006/relationships/hyperlink" Target="https://www.propertypal.com/5-66-university-street-botanic-belfast/426060" TargetMode="External"/><Relationship Id="rId40" Type="http://schemas.openxmlformats.org/officeDocument/2006/relationships/hyperlink" Target="https://www.propertypal.com/flat-1-46-college-park-avenue-belfast/368807" TargetMode="External"/><Relationship Id="rId41" Type="http://schemas.openxmlformats.org/officeDocument/2006/relationships/hyperlink" Target="https://www.propertypal.com/1-70-university-avenue-belfast/227967" TargetMode="External"/><Relationship Id="rId42" Type="http://schemas.openxmlformats.org/officeDocument/2006/relationships/hyperlink" Target="https://www.propertypal.com/1-19-lawrence-street-botanic-belfast/357146" TargetMode="External"/><Relationship Id="rId43" Type="http://schemas.openxmlformats.org/officeDocument/2006/relationships/hyperlink" Target="https://www.propertypal.com/apt-3-22-cromwell-road-belfast/1082964" TargetMode="External"/><Relationship Id="rId44" Type="http://schemas.openxmlformats.org/officeDocument/2006/relationships/hyperlink" Target="https://www.propertypal.com/great-location-41a-agincourt-avenue-queens-quarter-belfast/683021" TargetMode="External"/><Relationship Id="rId45" Type="http://schemas.openxmlformats.org/officeDocument/2006/relationships/hyperlink" Target="https://www.propertypal.com/great-1-bedroom-apartment-41d-agincourt-avenue-queens-university-quabelfast/245149" TargetMode="External"/><Relationship Id="rId46" Type="http://schemas.openxmlformats.org/officeDocument/2006/relationships/hyperlink" Target="https://www.propertypal.com/westminster-street-belfast/1068915" TargetMode="External"/><Relationship Id="rId47" Type="http://schemas.openxmlformats.org/officeDocument/2006/relationships/hyperlink" Target="https://www.propertypal.com/great-apartment-18a-magdala-street-belfast/1005265" TargetMode="External"/><Relationship Id="rId48" Type="http://schemas.openxmlformats.org/officeDocument/2006/relationships/hyperlink" Target="https://www.propertypal.com/39-salisbury-court-belfast/1078021" TargetMode="External"/><Relationship Id="rId49" Type="http://schemas.openxmlformats.org/officeDocument/2006/relationships/hyperlink" Target="https://www.propertypal.com/great-apartment-41a-agincourt-avenue-queens-university-quarter-belfast/242310" TargetMode="External"/><Relationship Id="rId50" Type="http://schemas.openxmlformats.org/officeDocument/2006/relationships/hyperlink" Target="https://www.propertypal.com/3-2-wolseley-street-belfast/1070011" TargetMode="External"/><Relationship Id="rId51" Type="http://schemas.openxmlformats.org/officeDocument/2006/relationships/hyperlink" Target="https://www.propertypal.com/great-apartment-7b-canterbury-street-belfast-belfast/999077" TargetMode="External"/><Relationship Id="rId52" Type="http://schemas.openxmlformats.org/officeDocument/2006/relationships/hyperlink" Target="https://www.propertypal.com/great-apartment-41d-agincourt-avenue-queens-quarter-belfast/258694" TargetMode="External"/><Relationship Id="rId53" Type="http://schemas.openxmlformats.org/officeDocument/2006/relationships/hyperlink" Target="https://www.propertypal.com/great-apartment-8a-westminster-street-botanic-area-behind-queens-belfast/465189" TargetMode="External"/><Relationship Id="rId54" Type="http://schemas.openxmlformats.org/officeDocument/2006/relationships/hyperlink" Target="https://www.propertypal.com/great-apartment-5a-canterbury-street-queens-botanic-area-belfast/524233" TargetMode="External"/><Relationship Id="rId55" Type="http://schemas.openxmlformats.org/officeDocument/2006/relationships/hyperlink" Target="https://www.propertypal.com/great-apartment-41e-agincourt-avenue-queens-quarter-belfast/628112" TargetMode="External"/><Relationship Id="rId56" Type="http://schemas.openxmlformats.org/officeDocument/2006/relationships/hyperlink" Target="https://www.propertypal.com/fitzwilliam-mews-101d-rugby-avenue-queens-quarter-belfast/259711" TargetMode="External"/><Relationship Id="rId57" Type="http://schemas.openxmlformats.org/officeDocument/2006/relationships/hyperlink" Target="https://www.propertypal.com/great-apartment-93a-university-avenue-queens-quarter-belfast/696762" TargetMode="External"/><Relationship Id="rId58" Type="http://schemas.openxmlformats.org/officeDocument/2006/relationships/hyperlink" Target="https://www.propertypal.com/great-apartment-7c-canterbury-street-botanic-area-behind-queens-unbelfast/258902" TargetMode="External"/><Relationship Id="rId59" Type="http://schemas.openxmlformats.org/officeDocument/2006/relationships/hyperlink" Target="https://www.propertypal.com/great-apartment-41a-agincourt-avenue-queens-quarter-belfast/258691" TargetMode="External"/><Relationship Id="rId60" Type="http://schemas.openxmlformats.org/officeDocument/2006/relationships/hyperlink" Target="https://www.propertypal.com/great-apartment-101b-rugby-avenue-fitzwilliam-mews-belfast/91203" TargetMode="External"/><Relationship Id="rId61" Type="http://schemas.openxmlformats.org/officeDocument/2006/relationships/hyperlink" Target="https://www.propertypal.com/apt-1-great-apartment-2c-dudley-street-queens-quarter-belfast/179532" TargetMode="External"/><Relationship Id="rId62" Type="http://schemas.openxmlformats.org/officeDocument/2006/relationships/hyperlink" Target="https://www.propertypal.com/agincourt-avenue-queens-quarter-belfast/628107" TargetMode="External"/><Relationship Id="rId63" Type="http://schemas.openxmlformats.org/officeDocument/2006/relationships/hyperlink" Target="https://www.propertypal.com/great-location-41d-agincourt-avenue-queens-quarter-belfast/683049" TargetMode="External"/><Relationship Id="rId64" Type="http://schemas.openxmlformats.org/officeDocument/2006/relationships/hyperlink" Target="https://www.propertypal.com/great-apartment-101a-rugby-avenue-queens-quarter-belfast/52949" TargetMode="External"/><Relationship Id="rId65" Type="http://schemas.openxmlformats.org/officeDocument/2006/relationships/hyperlink" Target="https://www.propertypal.com/great-one-bedroom-apartment-20a-fitzroy-avenue-queens-quarter-belfast/172823" TargetMode="External"/><Relationship Id="rId66" Type="http://schemas.openxmlformats.org/officeDocument/2006/relationships/hyperlink" Target="https://www.propertypal.com/apt-1-2-wolseley-street-belfast/963932" TargetMode="External"/><Relationship Id="rId67" Type="http://schemas.openxmlformats.org/officeDocument/2006/relationships/hyperlink" Target="https://www.propertypal.com/4a-botanic-court-rugby-road-belfast/1088717" TargetMode="External"/><Relationship Id="rId68" Type="http://schemas.openxmlformats.org/officeDocument/2006/relationships/hyperlink" Target="https://www.propertypal.com/19-annadale-mews-belfast/1075214" TargetMode="External"/><Relationship Id="rId69" Type="http://schemas.openxmlformats.org/officeDocument/2006/relationships/hyperlink" Target="https://www.propertypal.com/flat-4-77-fitzroy-avenue-belfast/1126468" TargetMode="External"/><Relationship Id="rId70" Type="http://schemas.openxmlformats.org/officeDocument/2006/relationships/hyperlink" Target="https://www.propertypal.com/flat-1-23-magdala-street-belfast/525270" TargetMode="External"/><Relationship Id="rId71" Type="http://schemas.openxmlformats.org/officeDocument/2006/relationships/hyperlink" Target="https://www.propertypal.com/33-delhi-street-belfast/1110424" TargetMode="External"/><Relationship Id="rId72" Type="http://schemas.openxmlformats.org/officeDocument/2006/relationships/hyperlink" Target="https://www.propertypal.com/apt-402-park-avenue-bankmore-street-belfast/1072609" TargetMode="External"/><Relationship Id="rId73" Type="http://schemas.openxmlformats.org/officeDocument/2006/relationships/hyperlink" Target="https://www.propertypal.com/702-portland-88-55-ormeau-road-belfast/1074496" TargetMode="External"/><Relationship Id="rId74" Type="http://schemas.openxmlformats.org/officeDocument/2006/relationships/hyperlink" Target="https://www.propertypal.com/602-portland-88-55-ormeau-road-belfast/1082497" TargetMode="External"/><Relationship Id="rId75" Type="http://schemas.openxmlformats.org/officeDocument/2006/relationships/hyperlink" Target="https://www.propertypal.com/3-32-wolseley-street-botanic-belfast/1105425" TargetMode="External"/><Relationship Id="rId76" Type="http://schemas.openxmlformats.org/officeDocument/2006/relationships/hyperlink" Target="https://www.propertypal.com/51-stewart-street-city-centre-belfast/1070796" TargetMode="External"/><Relationship Id="rId77" Type="http://schemas.openxmlformats.org/officeDocument/2006/relationships/hyperlink" Target="https://www.propertypal.com/apt-3-84-fitzroy-avenue-belfast/945132" TargetMode="External"/><Relationship Id="rId78" Type="http://schemas.openxmlformats.org/officeDocument/2006/relationships/hyperlink" Target="https://www.propertypal.com/4-101-fitzroy-avenue-belfast/211995" TargetMode="External"/><Relationship Id="rId79" Type="http://schemas.openxmlformats.org/officeDocument/2006/relationships/hyperlink" Target="https://www.propertypal.com/2-74-cromwell-road-botanic-belfast/443887" TargetMode="External"/><Relationship Id="rId80" Type="http://schemas.openxmlformats.org/officeDocument/2006/relationships/hyperlink" Target="https://www.propertypal.com/flat-4-23-india-street-belfast/928118" TargetMode="External"/><Relationship Id="rId81" Type="http://schemas.openxmlformats.org/officeDocument/2006/relationships/hyperlink" Target="https://www.propertypal.com/2-2-wolseley-street-belfast/1079405" TargetMode="External"/><Relationship Id="rId82" Type="http://schemas.openxmlformats.org/officeDocument/2006/relationships/hyperlink" Target="https://www.propertypal.com/flat-2-1-lawrence-street-botanic-belfast/448050" TargetMode="External"/><Relationship Id="rId83" Type="http://schemas.openxmlformats.org/officeDocument/2006/relationships/hyperlink" Target="https://www.propertypal.com/1-16-lawrence-street-botanic-belfast/354122" TargetMode="External"/><Relationship Id="rId84" Type="http://schemas.openxmlformats.org/officeDocument/2006/relationships/hyperlink" Target="https://www.propertypal.com/1-33-cromwell-road-botanic-belfast/206991" TargetMode="External"/><Relationship Id="rId85" Type="http://schemas.openxmlformats.org/officeDocument/2006/relationships/hyperlink" Target="https://www.propertypal.com/great-apartment-73a-agincourt-avenue-queens-quarter-belfast/156992" TargetMode="External"/><Relationship Id="rId86" Type="http://schemas.openxmlformats.org/officeDocument/2006/relationships/hyperlink" Target="https://www.propertypal.com/two-bedroom-apartment-19a-dunluce-avenue-lisburn-road-belfast/154770" TargetMode="External"/><Relationship Id="rId87" Type="http://schemas.openxmlformats.org/officeDocument/2006/relationships/hyperlink" Target="https://www.propertypal.com/apt-2-43-sunnyside-street-ormeau-belfast/1129578" TargetMode="External"/><Relationship Id="rId88" Type="http://schemas.openxmlformats.org/officeDocument/2006/relationships/hyperlink" Target="https://www.propertypal.com/apartment-2-1-rosetta-avenue-belfast/1127585" TargetMode="External"/><Relationship Id="rId89" Type="http://schemas.openxmlformats.org/officeDocument/2006/relationships/hyperlink" Target="https://www.propertypal.com/1-28-magdala-street-belfast/500812" TargetMode="External"/><Relationship Id="rId90" Type="http://schemas.openxmlformats.org/officeDocument/2006/relationships/hyperlink" Target="https://www.propertypal.com/upstairs-apartment-53e-agincourt-avenue-university-quarter-belfast/258852" TargetMode="External"/><Relationship Id="rId91" Type="http://schemas.openxmlformats.org/officeDocument/2006/relationships/hyperlink" Target="https://www.propertypal.com/1-ashburne-place-belfast/1086054" TargetMode="External"/><Relationship Id="rId92" Type="http://schemas.openxmlformats.org/officeDocument/2006/relationships/hyperlink" Target="https://www.propertypal.com/great-apartment-131c-university-avenue-queens-university-quarter-belfast/244428" TargetMode="External"/><Relationship Id="rId93" Type="http://schemas.openxmlformats.org/officeDocument/2006/relationships/hyperlink" Target="https://www.propertypal.com/apt-2-nova-studios-167-university-street-ormeau-road-belfast/1083259" TargetMode="External"/><Relationship Id="rId94" Type="http://schemas.openxmlformats.org/officeDocument/2006/relationships/hyperlink" Target="https://www.propertypal.com/great-2-bedroom-house-7-jerusalem-street-queens-university-quarter-belfast/243807" TargetMode="External"/><Relationship Id="rId95" Type="http://schemas.openxmlformats.org/officeDocument/2006/relationships/hyperlink" Target="https://www.propertypal.com/1-21-lawrence-street-university-street-belfast/357101" TargetMode="External"/><Relationship Id="rId96" Type="http://schemas.openxmlformats.org/officeDocument/2006/relationships/hyperlink" Target="https://www.propertypal.com/apt-2-84-fitzroy-avenue-belfast/663615" TargetMode="External"/><Relationship Id="rId97" Type="http://schemas.openxmlformats.org/officeDocument/2006/relationships/hyperlink" Target="https://www.propertypal.com/great-house-24-damascus-street-queens-quarter-belfast/259013" TargetMode="External"/><Relationship Id="rId98" Type="http://schemas.openxmlformats.org/officeDocument/2006/relationships/hyperlink" Target="https://www.propertypal.com/new-build-apartment-53d-agincourt-avenue-queens-university-quarter-belfast/258842" TargetMode="External"/><Relationship Id="rId99" Type="http://schemas.openxmlformats.org/officeDocument/2006/relationships/hyperlink" Target="https://www.propertypal.com/new-build-apartment-4a-magdala-street-queens-quarter-belfast/259573" TargetMode="External"/><Relationship Id="rId100" Type="http://schemas.openxmlformats.org/officeDocument/2006/relationships/hyperlink" Target="https://www.propertypal.com/great-apartment-44b-damascus-street-university-quarter-belfast/258876" TargetMode="External"/><Relationship Id="rId101" Type="http://schemas.openxmlformats.org/officeDocument/2006/relationships/hyperlink" Target="https://www.propertypal.com/great-house-28-palestine-street-queens-quarter-belfast/678706" TargetMode="External"/><Relationship Id="rId102" Type="http://schemas.openxmlformats.org/officeDocument/2006/relationships/hyperlink" Target="https://www.propertypal.com/new-build-apartment-53f-agincourt-avenue-university-quarter-belfast/258801" TargetMode="External"/><Relationship Id="rId103" Type="http://schemas.openxmlformats.org/officeDocument/2006/relationships/hyperlink" Target="https://www.propertypal.com/two-bedroom-apartment-4a-magdala-street-botanic-area-behind-queens-belfast/259569" TargetMode="External"/><Relationship Id="rId104" Type="http://schemas.openxmlformats.org/officeDocument/2006/relationships/hyperlink" Target="https://www.propertypal.com/great-apartment-44a-damascus-street-queens-quarter-belfast/999086" TargetMode="External"/><Relationship Id="rId105" Type="http://schemas.openxmlformats.org/officeDocument/2006/relationships/hyperlink" Target="https://www.propertypal.com/great-house-1-hatfield-street-ormeau-road-belfast/260185" TargetMode="External"/><Relationship Id="rId106" Type="http://schemas.openxmlformats.org/officeDocument/2006/relationships/hyperlink" Target="https://www.propertypal.com/fitzwilliam-mews-101c-rugby-avenue-queens-quarter-belfast/328932" TargetMode="External"/><Relationship Id="rId107" Type="http://schemas.openxmlformats.org/officeDocument/2006/relationships/hyperlink" Target="https://www.propertypal.com/new-build-apartment-58-agincourt-avenue-university-quarter-belfast/258862" TargetMode="External"/><Relationship Id="rId108" Type="http://schemas.openxmlformats.org/officeDocument/2006/relationships/hyperlink" Target="https://www.propertypal.com/101e-rugby-avenue-queens-quarter-belfast/51631" TargetMode="External"/><Relationship Id="rId109" Type="http://schemas.openxmlformats.org/officeDocument/2006/relationships/hyperlink" Target="https://www.propertypal.com/upstairs-apartment-53f-agincourt-avenue-queens-quarter-belfast/139889" TargetMode="External"/><Relationship Id="rId110" Type="http://schemas.openxmlformats.org/officeDocument/2006/relationships/hyperlink" Target="https://www.propertypal.com/great-apartment-44b-damascus-street-queens-university-area-belfast/139892" TargetMode="External"/><Relationship Id="rId111" Type="http://schemas.openxmlformats.org/officeDocument/2006/relationships/hyperlink" Target="https://www.propertypal.com/two-bedroom-apartment-1c-magdala-street-queens-quarter-belfast/92581" TargetMode="External"/><Relationship Id="rId112" Type="http://schemas.openxmlformats.org/officeDocument/2006/relationships/hyperlink" Target="https://www.propertypal.com/upstairs-apartment-53e-agincourt-avenue-queens-quarter-belfast/175185" TargetMode="External"/><Relationship Id="rId113" Type="http://schemas.openxmlformats.org/officeDocument/2006/relationships/hyperlink" Target="https://www.propertypal.com/carmel-street-belfast-belfast/924051" TargetMode="External"/><Relationship Id="rId114" Type="http://schemas.openxmlformats.org/officeDocument/2006/relationships/hyperlink" Target="https://www.propertypal.com/great-apartment-101c-rugby-avenue-fitzwilliam-mews-belfast/191892" TargetMode="External"/><Relationship Id="rId115" Type="http://schemas.openxmlformats.org/officeDocument/2006/relationships/hyperlink" Target="https://www.propertypal.com/great-apartment-44a-damascus-street-great-apartment-belfast/274875" TargetMode="External"/><Relationship Id="rId116" Type="http://schemas.openxmlformats.org/officeDocument/2006/relationships/hyperlink" Target="https://www.propertypal.com/great-apartment-1b-magdala-street-queens-quarter-belfast/439095" TargetMode="External"/><Relationship Id="rId117" Type="http://schemas.openxmlformats.org/officeDocument/2006/relationships/hyperlink" Target="https://www.propertypal.com/upstairs-apartment-18b-magdala-street-queens-botanic-quarter-belfast/91196" TargetMode="External"/><Relationship Id="rId118" Type="http://schemas.openxmlformats.org/officeDocument/2006/relationships/hyperlink" Target="https://www.propertypal.com/great-house-28-palestine-street-queens-quarter-belfast/815661" TargetMode="External"/><Relationship Id="rId119" Type="http://schemas.openxmlformats.org/officeDocument/2006/relationships/hyperlink" Target="https://www.propertypal.com/jerusalem-street-queens-quarter-belfast/815657" TargetMode="External"/><Relationship Id="rId120" Type="http://schemas.openxmlformats.org/officeDocument/2006/relationships/hyperlink" Target="https://www.propertypal.com/upstairs-apartment-53d-agincourt-avenue-queens-quarter-belfast/194672" TargetMode="External"/><Relationship Id="rId121" Type="http://schemas.openxmlformats.org/officeDocument/2006/relationships/hyperlink" Target="https://www.propertypal.com/great-house-24-damascus-street-queens-quarter-belfast/154930" TargetMode="External"/><Relationship Id="rId122" Type="http://schemas.openxmlformats.org/officeDocument/2006/relationships/hyperlink" Target="https://www.propertypal.com/2-27-rugby-avenue-belfast/1032114" TargetMode="External"/><Relationship Id="rId123" Type="http://schemas.openxmlformats.org/officeDocument/2006/relationships/hyperlink" Target="https://www.propertypal.com/34-salisbury-street-belfast/1096305" TargetMode="External"/><Relationship Id="rId124" Type="http://schemas.openxmlformats.org/officeDocument/2006/relationships/hyperlink" Target="https://www.propertypal.com/apartment-9-8-cromwell-road-botanic-avenue-belfast/1080664" TargetMode="External"/><Relationship Id="rId125" Type="http://schemas.openxmlformats.org/officeDocument/2006/relationships/hyperlink" Target="https://www.propertypal.com/3-27-cromwell-road-botanic-belfast/443847" TargetMode="External"/><Relationship Id="rId126" Type="http://schemas.openxmlformats.org/officeDocument/2006/relationships/hyperlink" Target="https://www.propertypal.com/11a-rushfield-avenue-off-ormeau-road-belfast/919698" TargetMode="External"/><Relationship Id="rId127" Type="http://schemas.openxmlformats.org/officeDocument/2006/relationships/hyperlink" Target="https://www.propertypal.com/flat-4-78-fitzroy-avenue-belfast/1075293" TargetMode="External"/><Relationship Id="rId128" Type="http://schemas.openxmlformats.org/officeDocument/2006/relationships/hyperlink" Target="https://www.propertypal.com/flat-1-77-fitzroy-avenue-belfast/1130583" TargetMode="External"/><Relationship Id="rId129" Type="http://schemas.openxmlformats.org/officeDocument/2006/relationships/hyperlink" Target="https://www.propertypal.com/207-somerset-studios-marcus-ward-street-belfast/1101153" TargetMode="External"/><Relationship Id="rId130" Type="http://schemas.openxmlformats.org/officeDocument/2006/relationships/hyperlink" Target="https://www.propertypal.com/flat-1-30-magdala-street-belfast/204907" TargetMode="External"/><Relationship Id="rId131" Type="http://schemas.openxmlformats.org/officeDocument/2006/relationships/hyperlink" Target="https://www.propertypal.com/flat-1-51-magdala-street-belfast/1100703" TargetMode="External"/><Relationship Id="rId132" Type="http://schemas.openxmlformats.org/officeDocument/2006/relationships/hyperlink" Target="https://www.propertypal.com/flat-1-95-university-avenue-belfast/1098012" TargetMode="External"/><Relationship Id="rId133" Type="http://schemas.openxmlformats.org/officeDocument/2006/relationships/hyperlink" Target="https://www.propertypal.com/apartment-4-90-university-street-botanic-avenue-belfast/913204" TargetMode="External"/><Relationship Id="rId134" Type="http://schemas.openxmlformats.org/officeDocument/2006/relationships/hyperlink" Target="https://www.propertypal.com/flat-3-78-fitzroy-avenue-belfast/1059191" TargetMode="External"/><Relationship Id="rId135" Type="http://schemas.openxmlformats.org/officeDocument/2006/relationships/hyperlink" Target="https://www.propertypal.com/9-st-johns-square-belfast/1023715" TargetMode="External"/><Relationship Id="rId136" Type="http://schemas.openxmlformats.org/officeDocument/2006/relationships/hyperlink" Target="https://www.propertypal.com/apt-27-the-hull-building-annadale-crescent-belfast/1090625" TargetMode="External"/><Relationship Id="rId137" Type="http://schemas.openxmlformats.org/officeDocument/2006/relationships/hyperlink" Target="https://www.propertypal.com/1-162-ormeau-road-belfast/778756" TargetMode="External"/><Relationship Id="rId138" Type="http://schemas.openxmlformats.org/officeDocument/2006/relationships/hyperlink" Target="https://www.propertypal.com/15-rugby-square-rugby-parade-belfast/1084149" TargetMode="External"/><Relationship Id="rId139" Type="http://schemas.openxmlformats.org/officeDocument/2006/relationships/hyperlink" Target="https://www.propertypal.com/great-apartment-165c-university-street-queens-university-quarter-belfast/244448" TargetMode="External"/><Relationship Id="rId140" Type="http://schemas.openxmlformats.org/officeDocument/2006/relationships/hyperlink" Target="https://www.propertypal.com/apt-17-the-hull-building-35-annadale-crescent-belfast/1075302" TargetMode="External"/><Relationship Id="rId141" Type="http://schemas.openxmlformats.org/officeDocument/2006/relationships/hyperlink" Target="https://www.propertypal.com/new-build-apartment-165-university-street-queens-quarter-belfast/244453" TargetMode="External"/><Relationship Id="rId142" Type="http://schemas.openxmlformats.org/officeDocument/2006/relationships/hyperlink" Target="https://www.propertypal.com/3-11-ireton-street-botanic-belfast/585731" TargetMode="External"/><Relationship Id="rId143" Type="http://schemas.openxmlformats.org/officeDocument/2006/relationships/hyperlink" Target="https://www.propertypal.com/great-apartment-165e-university-street-queens-quarter-belfast/260172" TargetMode="External"/><Relationship Id="rId144" Type="http://schemas.openxmlformats.org/officeDocument/2006/relationships/hyperlink" Target="https://www.propertypal.com/new-build-apartment-165d-university-street-queens-quarter-belfast/260173" TargetMode="External"/><Relationship Id="rId145" Type="http://schemas.openxmlformats.org/officeDocument/2006/relationships/hyperlink" Target="https://www.propertypal.com/new-build-apartment-165c-university-street-queens-quarter-belfast/259762" TargetMode="External"/><Relationship Id="rId146" Type="http://schemas.openxmlformats.org/officeDocument/2006/relationships/hyperlink" Target="https://www.propertypal.com/great-apartment-165f-university-street-queens-quarter-belfast/1006932" TargetMode="External"/><Relationship Id="rId147" Type="http://schemas.openxmlformats.org/officeDocument/2006/relationships/hyperlink" Target="https://www.propertypal.com/great-apartment-165b-university-street-queens-quarter-belfast/439099" TargetMode="External"/><Relationship Id="rId148" Type="http://schemas.openxmlformats.org/officeDocument/2006/relationships/hyperlink" Target="https://www.propertypal.com/great-apartment-165c-university-street-queens-quarter-belfast/58722" TargetMode="External"/><Relationship Id="rId149" Type="http://schemas.openxmlformats.org/officeDocument/2006/relationships/hyperlink" Target="https://www.propertypal.com/8-shaftesbury-court-off-dublin-road-belfast/1127456" TargetMode="External"/><Relationship Id="rId150" Type="http://schemas.openxmlformats.org/officeDocument/2006/relationships/hyperlink" Target="https://www.propertypal.com/upstairs-apartment-34c-magdala-street-queens-quarter-belfast/689308" TargetMode="External"/><Relationship Id="rId151" Type="http://schemas.openxmlformats.org/officeDocument/2006/relationships/hyperlink" Target="https://www.propertypal.com/apt-14-shaftesbury-court-3-marcus-ward-street-belfast/1130374" TargetMode="External"/><Relationship Id="rId152" Type="http://schemas.openxmlformats.org/officeDocument/2006/relationships/hyperlink" Target="https://www.propertypal.com/apt-5-48-rossmore-drive-ormeau-belfast/1128581" TargetMode="External"/><Relationship Id="rId153" Type="http://schemas.openxmlformats.org/officeDocument/2006/relationships/hyperlink" Target="https://www.propertypal.com/9-rossmore-apartments-48-rossmore-drive-belfast/1106787" TargetMode="External"/><Relationship Id="rId154" Type="http://schemas.openxmlformats.org/officeDocument/2006/relationships/hyperlink" Target="https://www.propertypal.com/apt-6-forest-house-72-beech-heights-belfast/1079222" TargetMode="External"/><Relationship Id="rId155" Type="http://schemas.openxmlformats.org/officeDocument/2006/relationships/hyperlink" Target="https://www.propertypal.com/apt-2-16-annadale-avenue-belfast/1075323" TargetMode="External"/><Relationship Id="rId156" Type="http://schemas.openxmlformats.org/officeDocument/2006/relationships/hyperlink" Target="https://www.propertypal.com/apt-2-meadow-house-47-the-boulevard-belfast/1130532" TargetMode="External"/><Relationship Id="rId157" Type="http://schemas.openxmlformats.org/officeDocument/2006/relationships/hyperlink" Target="https://www.propertypal.com/apt-30-19-bridge-house-wellington-square-belfast/1093137" TargetMode="External"/><Relationship Id="rId158" Type="http://schemas.openxmlformats.org/officeDocument/2006/relationships/hyperlink" Target="https://www.propertypal.com/11-haywood-avenue-ormeau-road-belfast/811950" TargetMode="External"/><Relationship Id="rId159" Type="http://schemas.openxmlformats.org/officeDocument/2006/relationships/hyperlink" Target="https://www.propertypal.com/101-the-bakery-311-ormeau-road-belfast/1093699" TargetMode="External"/><Relationship Id="rId160" Type="http://schemas.openxmlformats.org/officeDocument/2006/relationships/hyperlink" Target="https://www.propertypal.com/507-portland-88-55-ormeau-road-belfast/952657" TargetMode="External"/><Relationship Id="rId161" Type="http://schemas.openxmlformats.org/officeDocument/2006/relationships/hyperlink" Target="https://www.propertypal.com/apartment-21-35-the-hull-building-annadale-crescent-belfast/1098405" TargetMode="External"/><Relationship Id="rId162" Type="http://schemas.openxmlformats.org/officeDocument/2006/relationships/hyperlink" Target="https://www.propertypal.com/81b-botanic-avenue-belfast/1100229" TargetMode="External"/><Relationship Id="rId163" Type="http://schemas.openxmlformats.org/officeDocument/2006/relationships/hyperlink" Target="https://www.propertypal.com/9-shaftesbury-court-3-marcus-ward-street-belfast/1099436" TargetMode="External"/><Relationship Id="rId164" Type="http://schemas.openxmlformats.org/officeDocument/2006/relationships/hyperlink" Target="https://www.propertypal.com/213-the-bakery-311-ormeau-road-belfast/1074388" TargetMode="External"/><Relationship Id="rId165" Type="http://schemas.openxmlformats.org/officeDocument/2006/relationships/hyperlink" Target="https://www.propertypal.com/408-portland-88-55-ormeau-road-belfast/1110443" TargetMode="External"/><Relationship Id="rId166" Type="http://schemas.openxmlformats.org/officeDocument/2006/relationships/hyperlink" Target="https://www.propertypal.com/208-portland-88-55-ormeau-road-belfast/1082385" TargetMode="External"/><Relationship Id="rId167" Type="http://schemas.openxmlformats.org/officeDocument/2006/relationships/hyperlink" Target="https://www.propertypal.com/328-the-bakery-311-ormeau-road-belfast/955945" TargetMode="External"/><Relationship Id="rId168" Type="http://schemas.openxmlformats.org/officeDocument/2006/relationships/hyperlink" Target="https://www.propertypal.com/229-the-bakery-311-ormeau-road-belfast/1093100" TargetMode="External"/><Relationship Id="rId169" Type="http://schemas.openxmlformats.org/officeDocument/2006/relationships/hyperlink" Target="https://www.propertypal.com/214-portland-88-55-ormeau-road-belfast/1099088" TargetMode="External"/><Relationship Id="rId170" Type="http://schemas.openxmlformats.org/officeDocument/2006/relationships/hyperlink" Target="https://www.propertypal.com/506-portland-88-55-ormeau-road-belfast/1096008" TargetMode="External"/><Relationship Id="rId171" Type="http://schemas.openxmlformats.org/officeDocument/2006/relationships/hyperlink" Target="https://www.propertypal.com/414-portland-88-55-ormeau-road-belfast/1086597" TargetMode="External"/><Relationship Id="rId172" Type="http://schemas.openxmlformats.org/officeDocument/2006/relationships/hyperlink" Target="https://www.propertypal.com/18-jameson-street-belfast/1041951" TargetMode="External"/><Relationship Id="rId173" Type="http://schemas.openxmlformats.org/officeDocument/2006/relationships/hyperlink" Target="https://www.propertypal.com/29-delhi-parade-belfast/1071522" TargetMode="External"/><Relationship Id="rId174" Type="http://schemas.openxmlformats.org/officeDocument/2006/relationships/hyperlink" Target="https://www.propertypal.com/1-ava-drive-belfast/1077412" TargetMode="External"/><Relationship Id="rId175" Type="http://schemas.openxmlformats.org/officeDocument/2006/relationships/hyperlink" Target="https://www.propertypal.com/27-jameson-street-belfast/1032821" TargetMode="External"/><Relationship Id="rId176" Type="http://schemas.openxmlformats.org/officeDocument/2006/relationships/hyperlink" Target="https://www.propertypal.com/great-accommodation-93b-university-avenue-queens-quarter-belfast/1057734" TargetMode="External"/><Relationship Id="rId177" Type="http://schemas.openxmlformats.org/officeDocument/2006/relationships/hyperlink" Target="https://www.propertypal.com/59-ava-street-ormeau-road-belfast/1096593" TargetMode="External"/><Relationship Id="rId178" Type="http://schemas.openxmlformats.org/officeDocument/2006/relationships/hyperlink" Target="https://www.propertypal.com/great-house-14-carmel-street-queens-university-quarter-belfast/258941" TargetMode="External"/><Relationship Id="rId179" Type="http://schemas.openxmlformats.org/officeDocument/2006/relationships/hyperlink" Target="https://www.propertypal.com/great-house-29-palestine-street-university-quarter-belfast/259543" TargetMode="External"/><Relationship Id="rId180" Type="http://schemas.openxmlformats.org/officeDocument/2006/relationships/hyperlink" Target="https://www.propertypal.com/great-house-23-damascus-street-queens-quarter-belfast/532192" TargetMode="External"/><Relationship Id="rId181" Type="http://schemas.openxmlformats.org/officeDocument/2006/relationships/hyperlink" Target="https://www.propertypal.com/great-house-17-damascus-street-queens-quarter-belfast/139895" TargetMode="External"/><Relationship Id="rId182" Type="http://schemas.openxmlformats.org/officeDocument/2006/relationships/hyperlink" Target="https://www.propertypal.com/great-house-42-damascus-street-queens-quarter-belfast/157017" TargetMode="External"/><Relationship Id="rId183" Type="http://schemas.openxmlformats.org/officeDocument/2006/relationships/hyperlink" Target="https://www.propertypal.com/student-house-30-cairo-street-queens-quarter-belfast/139918" TargetMode="External"/><Relationship Id="rId184" Type="http://schemas.openxmlformats.org/officeDocument/2006/relationships/hyperlink" Target="https://www.propertypal.com/28-whitehall-parade-belfast/601050" TargetMode="External"/><Relationship Id="rId185" Type="http://schemas.openxmlformats.org/officeDocument/2006/relationships/hyperlink" Target="https://www.propertypal.com/flat-1-27-india-street-belfast/674756" TargetMode="External"/><Relationship Id="rId186" Type="http://schemas.openxmlformats.org/officeDocument/2006/relationships/hyperlink" Target="https://www.propertypal.com/university-avenue-queens-quarter-belfast/693623" TargetMode="External"/><Relationship Id="rId187" Type="http://schemas.openxmlformats.org/officeDocument/2006/relationships/hyperlink" Target="https://www.propertypal.com/great-house-10-agincourt-street-queens-quarter-belfast/139900" TargetMode="External"/><Relationship Id="rId188" Type="http://schemas.openxmlformats.org/officeDocument/2006/relationships/hyperlink" Target="https://www.propertypal.com/great-house-6-carmel-street-queens-quarter-belfast/52956" TargetMode="External"/><Relationship Id="rId189" Type="http://schemas.openxmlformats.org/officeDocument/2006/relationships/hyperlink" Target="https://www.propertypal.com/16-powerscourt-place-ormeau-road-belfast/1084084" TargetMode="External"/><Relationship Id="rId190" Type="http://schemas.openxmlformats.org/officeDocument/2006/relationships/hyperlink" Target="https://www.propertypal.com/apt-9-2-beech-heights-belfast/1075378" TargetMode="External"/><Relationship Id="rId191" Type="http://schemas.openxmlformats.org/officeDocument/2006/relationships/hyperlink" Target="https://www.propertypal.com/ireton-street-botanic-avenue-belfast/442805" TargetMode="External"/><Relationship Id="rId192" Type="http://schemas.openxmlformats.org/officeDocument/2006/relationships/hyperlink" Target="https://www.propertypal.com/great-location-36a-university-avenue-queens-quarter-belfast/259802" TargetMode="External"/><Relationship Id="rId193" Type="http://schemas.openxmlformats.org/officeDocument/2006/relationships/hyperlink" Target="https://www.propertypal.com/fantastic-house-20-farnham-street-ormeau-road-belfast/754645" TargetMode="External"/><Relationship Id="rId194" Type="http://schemas.openxmlformats.org/officeDocument/2006/relationships/hyperlink" Target="https://www.propertypal.com/10-ailesbury-gardens-ormeau-road-belfast/1099592" TargetMode="External"/><Relationship Id="rId195" Type="http://schemas.openxmlformats.org/officeDocument/2006/relationships/hyperlink" Target="https://www.propertypal.com/49-cromwell-road-apt-6-belfast/1093061" TargetMode="External"/><Relationship Id="rId196" Type="http://schemas.openxmlformats.org/officeDocument/2006/relationships/hyperlink" Target="https://www.propertypal.com/apartment-8-8-cromwell-road-botanic-avenue-belfast/1080960" TargetMode="External"/><Relationship Id="rId197" Type="http://schemas.openxmlformats.org/officeDocument/2006/relationships/hyperlink" Target="https://www.propertypal.com/agincourt-avenue-queens-university-quarter-belfast/243195" TargetMode="External"/><Relationship Id="rId198" Type="http://schemas.openxmlformats.org/officeDocument/2006/relationships/hyperlink" Target="https://www.propertypal.com/apt-5-acorn-hill-9a-annadale-ave-belfast/1090202" TargetMode="External"/><Relationship Id="rId199" Type="http://schemas.openxmlformats.org/officeDocument/2006/relationships/hyperlink" Target="https://www.propertypal.com/great-three-bed-apartment-79b-university-avenue-queens-quarter-belfast/667729" TargetMode="External"/><Relationship Id="rId200" Type="http://schemas.openxmlformats.org/officeDocument/2006/relationships/hyperlink" Target="https://www.propertypal.com/3-bedroom-apartment-46b-agincourt-avenue-queens-quarter-belfast/1034859" TargetMode="External"/><Relationship Id="rId201" Type="http://schemas.openxmlformats.org/officeDocument/2006/relationships/hyperlink" Target="https://www.propertypal.com/great-location-79b-university-avenue-queens-quarter-belfast/682503" TargetMode="External"/><Relationship Id="rId202" Type="http://schemas.openxmlformats.org/officeDocument/2006/relationships/hyperlink" Target="https://www.propertypal.com/new-build-apartment-76b-rugby-avenue-queens-quarter-belfast/259688" TargetMode="External"/><Relationship Id="rId203" Type="http://schemas.openxmlformats.org/officeDocument/2006/relationships/hyperlink" Target="https://www.propertypal.com/3-bedroom-apartment-34b-magdala-street-queens-botanic-area-belfast/999456" TargetMode="External"/><Relationship Id="rId204" Type="http://schemas.openxmlformats.org/officeDocument/2006/relationships/hyperlink" Target="https://www.propertypal.com/great-apartment-79a-university-avenue-queens-quarter-belfast/999141" TargetMode="External"/><Relationship Id="rId205" Type="http://schemas.openxmlformats.org/officeDocument/2006/relationships/hyperlink" Target="https://www.propertypal.com/great-apartment-4c-magdala-street-botanic-area-belfast/259571" TargetMode="External"/><Relationship Id="rId206" Type="http://schemas.openxmlformats.org/officeDocument/2006/relationships/hyperlink" Target="https://www.propertypal.com/new-build-apartment-76a-rugby-avenue-queens-quarter-belfast/259629" TargetMode="External"/><Relationship Id="rId207" Type="http://schemas.openxmlformats.org/officeDocument/2006/relationships/hyperlink" Target="https://www.propertypal.com/upstairs-apartment-79c-university-avenue-belfast-belfast/999080" TargetMode="External"/><Relationship Id="rId208" Type="http://schemas.openxmlformats.org/officeDocument/2006/relationships/hyperlink" Target="https://www.propertypal.com/upstairs-apartment-16b-magdala-street-queens-botanic-quarter-belfast/259692" TargetMode="External"/><Relationship Id="rId209" Type="http://schemas.openxmlformats.org/officeDocument/2006/relationships/hyperlink" Target="https://www.propertypal.com/upstairs-apartment-4b-magdala-street-university-quarter-belfast/259576" TargetMode="External"/><Relationship Id="rId210" Type="http://schemas.openxmlformats.org/officeDocument/2006/relationships/hyperlink" Target="https://www.propertypal.com/upstairs-apartment-79b-university-avenue-queens-quarter-belfast/999083" TargetMode="External"/><Relationship Id="rId211" Type="http://schemas.openxmlformats.org/officeDocument/2006/relationships/hyperlink" Target="https://www.propertypal.com/great-location-79c-university-avenue-queens-quarter-belfast/682511" TargetMode="External"/><Relationship Id="rId212" Type="http://schemas.openxmlformats.org/officeDocument/2006/relationships/hyperlink" Target="https://www.propertypal.com/rugby-avenue-university-quarter-belfast/91078" TargetMode="External"/><Relationship Id="rId213" Type="http://schemas.openxmlformats.org/officeDocument/2006/relationships/hyperlink" Target="https://www.propertypal.com/great-apartment-76a-rugby-avenue-queens-university-quarter-belfast/189969" TargetMode="External"/><Relationship Id="rId214" Type="http://schemas.openxmlformats.org/officeDocument/2006/relationships/hyperlink" Target="https://www.propertypal.com/magdala-street-botanic-area-belfast/682209" TargetMode="External"/><Relationship Id="rId215" Type="http://schemas.openxmlformats.org/officeDocument/2006/relationships/hyperlink" Target="https://www.propertypal.com/university-avenue-queens-quarter-belfast/682491" TargetMode="External"/><Relationship Id="rId216" Type="http://schemas.openxmlformats.org/officeDocument/2006/relationships/hyperlink" Target="https://www.propertypal.com/great-location-16b-magdala-street-queens-quarter-belfast/682149" TargetMode="External"/><Relationship Id="rId217" Type="http://schemas.openxmlformats.org/officeDocument/2006/relationships/hyperlink" Target="https://www.propertypal.com/upstairs-apartment-80c-fitzroy-avenue-queens-botanic-area-belfast/157015" TargetMode="External"/><Relationship Id="rId218" Type="http://schemas.openxmlformats.org/officeDocument/2006/relationships/hyperlink" Target="https://www.propertypal.com/great-apartment-80b-fitzroy-avenue-queens-botanic-quarter-belfast/558116" TargetMode="External"/><Relationship Id="rId219" Type="http://schemas.openxmlformats.org/officeDocument/2006/relationships/hyperlink" Target="https://www.propertypal.com/great-location-122b-fitzroy-avenue-queens-quarter-belfast/681938" TargetMode="External"/><Relationship Id="rId220" Type="http://schemas.openxmlformats.org/officeDocument/2006/relationships/hyperlink" Target="https://www.propertypal.com/18-the-boulevard-wellington-square-belfast/1099182" TargetMode="External"/><Relationship Id="rId221" Type="http://schemas.openxmlformats.org/officeDocument/2006/relationships/hyperlink" Target="https://www.propertypal.com/flat-2-73-fitzroy-avenue-belfast/928379" TargetMode="External"/><Relationship Id="rId222" Type="http://schemas.openxmlformats.org/officeDocument/2006/relationships/hyperlink" Target="https://www.propertypal.com/14-sunnyside-crescent-belfast/1084045" TargetMode="External"/><Relationship Id="rId223" Type="http://schemas.openxmlformats.org/officeDocument/2006/relationships/hyperlink" Target="https://www.propertypal.com/4-117-university-street-belfast/1082384" TargetMode="External"/><Relationship Id="rId224" Type="http://schemas.openxmlformats.org/officeDocument/2006/relationships/hyperlink" Target="https://www.propertypal.com/flat-2-86-fitzroy-avenue-belfast/733069" TargetMode="External"/><Relationship Id="rId225" Type="http://schemas.openxmlformats.org/officeDocument/2006/relationships/hyperlink" Target="https://www.propertypal.com/30-deramore-avenue-ormeau-road-belfast/1077362" TargetMode="External"/><Relationship Id="rId226" Type="http://schemas.openxmlformats.org/officeDocument/2006/relationships/hyperlink" Target="https://www.propertypal.com/great-apartment-53c-agincourt-avenue-university-quarter-belfast/258841" TargetMode="External"/><Relationship Id="rId227" Type="http://schemas.openxmlformats.org/officeDocument/2006/relationships/hyperlink" Target="https://www.propertypal.com/carmel-street-queens-university-quarter-belfast/243457" TargetMode="External"/><Relationship Id="rId228" Type="http://schemas.openxmlformats.org/officeDocument/2006/relationships/hyperlink" Target="https://www.propertypal.com/damascus-street-queens-quarter-belfast/904242" TargetMode="External"/><Relationship Id="rId229" Type="http://schemas.openxmlformats.org/officeDocument/2006/relationships/hyperlink" Target="https://www.propertypal.com/new-build-apartment-26c-university-avenue-queens-quarter-belfast/259764" TargetMode="External"/><Relationship Id="rId230" Type="http://schemas.openxmlformats.org/officeDocument/2006/relationships/hyperlink" Target="https://www.propertypal.com/great-apartment-4c-magdala-street-botanic-area-behind-queens-belfast/157004" TargetMode="External"/><Relationship Id="rId231" Type="http://schemas.openxmlformats.org/officeDocument/2006/relationships/hyperlink" Target="https://www.propertypal.com/great-apartment-26b-university-avenue-queens-university-quarter-belfast/188031" TargetMode="External"/><Relationship Id="rId232" Type="http://schemas.openxmlformats.org/officeDocument/2006/relationships/hyperlink" Target="https://www.propertypal.com/great-apartment-165a-university-street-queens-quarter-belfast/199056" TargetMode="External"/><Relationship Id="rId233" Type="http://schemas.openxmlformats.org/officeDocument/2006/relationships/hyperlink" Target="https://www.propertypal.com/great-apartment-4b-magdala-street-botanic-area-behind-queens-belfast/91082" TargetMode="External"/><Relationship Id="rId234" Type="http://schemas.openxmlformats.org/officeDocument/2006/relationships/hyperlink" Target="https://www.propertypal.com/19-florenceville-avenue-ormeau-road-belfast/1127377" TargetMode="External"/><Relationship Id="rId235" Type="http://schemas.openxmlformats.org/officeDocument/2006/relationships/hyperlink" Target="https://www.propertypal.com/6-117-university-street-belfast/1098393" TargetMode="External"/><Relationship Id="rId236" Type="http://schemas.openxmlformats.org/officeDocument/2006/relationships/hyperlink" Target="https://www.propertypal.com/apt-1-oak-house-30-beech-heights-wellington-square-belfast/1086263" TargetMode="External"/><Relationship Id="rId237" Type="http://schemas.openxmlformats.org/officeDocument/2006/relationships/hyperlink" Target="https://www.propertypal.com/apt-11-acorn-hill-9b-annadale-avenue-belfast/1081795" TargetMode="External"/><Relationship Id="rId238" Type="http://schemas.openxmlformats.org/officeDocument/2006/relationships/hyperlink" Target="https://www.propertypal.com/great-house-118-university-avenue-queens-quarter-belfast/999433" TargetMode="External"/><Relationship Id="rId239" Type="http://schemas.openxmlformats.org/officeDocument/2006/relationships/hyperlink" Target="https://www.propertypal.com/32-rutland-street-belfast/1087464" TargetMode="External"/><Relationship Id="rId240" Type="http://schemas.openxmlformats.org/officeDocument/2006/relationships/hyperlink" Target="https://www.propertypal.com/8-artana-street-belfast/1079219" TargetMode="External"/><Relationship Id="rId241" Type="http://schemas.openxmlformats.org/officeDocument/2006/relationships/hyperlink" Target="https://www.propertypal.com/6-rugby-parade-belfast/1082139" TargetMode="External"/><Relationship Id="rId242" Type="http://schemas.openxmlformats.org/officeDocument/2006/relationships/hyperlink" Target="https://www.propertypal.com/3-88-fitzroy-avenue-belfast/1094437" TargetMode="External"/><Relationship Id="rId243" Type="http://schemas.openxmlformats.org/officeDocument/2006/relationships/hyperlink" Target="https://www.propertypal.com/2-51-magdala-street-botanic-belfast/367826" TargetMode="External"/><Relationship Id="rId244" Type="http://schemas.openxmlformats.org/officeDocument/2006/relationships/hyperlink" Target="https://www.propertypal.com/3-20-wolseley-street-university-street-belfast/227078" TargetMode="External"/><Relationship Id="rId245" Type="http://schemas.openxmlformats.org/officeDocument/2006/relationships/hyperlink" Target="https://www.propertypal.com/27-rushfield-avenue-ormeau-road-belfast/905011" TargetMode="External"/><Relationship Id="rId246" Type="http://schemas.openxmlformats.org/officeDocument/2006/relationships/hyperlink" Target="https://www.propertypal.com/lawrence-street-belfast/513509" TargetMode="External"/><Relationship Id="rId247" Type="http://schemas.openxmlformats.org/officeDocument/2006/relationships/hyperlink" Target="https://www.propertypal.com/68-jerusalem-street-holylands-belfast/766508" TargetMode="External"/><Relationship Id="rId248" Type="http://schemas.openxmlformats.org/officeDocument/2006/relationships/hyperlink" Target="https://www.propertypal.com/great-house-50-damascus-street-queens-quarter-belfast/51656" TargetMode="External"/><Relationship Id="rId249" Type="http://schemas.openxmlformats.org/officeDocument/2006/relationships/hyperlink" Target="https://www.propertypal.com/12-curzon-street-holylands-belfast/1059754" TargetMode="External"/><Relationship Id="rId250" Type="http://schemas.openxmlformats.org/officeDocument/2006/relationships/hyperlink" Target="https://www.propertypal.com/great-apartment-66c-rugby-avenue-university-quarter-belfast/259701" TargetMode="External"/><Relationship Id="rId251" Type="http://schemas.openxmlformats.org/officeDocument/2006/relationships/hyperlink" Target="https://www.propertypal.com/great-apartment-53b-agincourt-avenue-queens-quarter-belfast/664544" TargetMode="External"/><Relationship Id="rId252" Type="http://schemas.openxmlformats.org/officeDocument/2006/relationships/hyperlink" Target="https://www.propertypal.com/upstairs-apartment-16c-rugby-avenue-queens-quarter-belfast/1005326" TargetMode="External"/><Relationship Id="rId253" Type="http://schemas.openxmlformats.org/officeDocument/2006/relationships/hyperlink" Target="https://www.propertypal.com/great-apartment-68c-university-avenue-queens-quarter-belfast/244311" TargetMode="External"/><Relationship Id="rId254" Type="http://schemas.openxmlformats.org/officeDocument/2006/relationships/hyperlink" Target="https://www.propertypal.com/great-4-bedroom-apartment-66b-rugby-avenue-university-quarter-belfast/244253" TargetMode="External"/><Relationship Id="rId255" Type="http://schemas.openxmlformats.org/officeDocument/2006/relationships/hyperlink" Target="https://www.propertypal.com/great-4-bedroom-apartment-66c-rugby-avenue-queens-university-quarter-belfast/244252" TargetMode="External"/><Relationship Id="rId256" Type="http://schemas.openxmlformats.org/officeDocument/2006/relationships/hyperlink" Target="https://www.propertypal.com/4-bedroom-apartment-68c-university-avenue-queens-quarter-belfast/259790" TargetMode="External"/><Relationship Id="rId257" Type="http://schemas.openxmlformats.org/officeDocument/2006/relationships/hyperlink" Target="https://www.propertypal.com/upstairs-apartment-68b-university-avenue-queens-quarter-belfast/999100" TargetMode="External"/><Relationship Id="rId258" Type="http://schemas.openxmlformats.org/officeDocument/2006/relationships/hyperlink" Target="https://www.propertypal.com/great-apartment-122c-fitzroy-avenue-queens-quarter-botanic-area-belfast/259445" TargetMode="External"/><Relationship Id="rId259" Type="http://schemas.openxmlformats.org/officeDocument/2006/relationships/hyperlink" Target="https://www.propertypal.com/4-bedroom-apartment-53b-agincourt-avenue-university-quarter-belfast/258837" TargetMode="External"/><Relationship Id="rId260" Type="http://schemas.openxmlformats.org/officeDocument/2006/relationships/hyperlink" Target="https://www.propertypal.com/great-apartment-16a-rugby-avenue-queens-quarter-belfast/635504" TargetMode="External"/><Relationship Id="rId261" Type="http://schemas.openxmlformats.org/officeDocument/2006/relationships/hyperlink" Target="https://www.propertypal.com/upstairs-apartment-16c-rugby-avenue-queens-quarter-belfast/999424" TargetMode="External"/><Relationship Id="rId262" Type="http://schemas.openxmlformats.org/officeDocument/2006/relationships/hyperlink" Target="https://www.propertypal.com/great-apartment-66b-rugby-avenue-queens-quarter-belfast/259705" TargetMode="External"/><Relationship Id="rId263" Type="http://schemas.openxmlformats.org/officeDocument/2006/relationships/hyperlink" Target="https://www.propertypal.com/great-apartment-66a-rugby-avenue-queens-quarter-belfast/259696" TargetMode="External"/><Relationship Id="rId264" Type="http://schemas.openxmlformats.org/officeDocument/2006/relationships/hyperlink" Target="https://www.propertypal.com/upstairs-apartment-16b-rugby-avenue-university-quarter-belfast/259683" TargetMode="External"/><Relationship Id="rId265" Type="http://schemas.openxmlformats.org/officeDocument/2006/relationships/hyperlink" Target="https://www.propertypal.com/4-bedroom-house-51-palestine-street-queens-quarter-belfast/1056589" TargetMode="External"/><Relationship Id="rId266" Type="http://schemas.openxmlformats.org/officeDocument/2006/relationships/hyperlink" Target="https://www.propertypal.com/4-bedroom-house-49-palestine-street-queens-quarter-belfast/1056577" TargetMode="External"/><Relationship Id="rId267" Type="http://schemas.openxmlformats.org/officeDocument/2006/relationships/hyperlink" Target="https://www.propertypal.com/rugby-avenue-queens-quarter-belfast/154808" TargetMode="External"/><Relationship Id="rId268" Type="http://schemas.openxmlformats.org/officeDocument/2006/relationships/hyperlink" Target="https://www.propertypal.com/great-location-66b-rugby-avenue-queens-quarter-belfast/682251" TargetMode="External"/><Relationship Id="rId269" Type="http://schemas.openxmlformats.org/officeDocument/2006/relationships/hyperlink" Target="https://www.propertypal.com/great-location-122c-fitzroy-avenue-queens-botanic-quarter-belfast/681942" TargetMode="External"/><Relationship Id="rId270" Type="http://schemas.openxmlformats.org/officeDocument/2006/relationships/hyperlink" Target="https://www.propertypal.com/great-location-68c-university-avenue-queens-quarter-belfast/682486" TargetMode="External"/><Relationship Id="rId271" Type="http://schemas.openxmlformats.org/officeDocument/2006/relationships/hyperlink" Target="https://www.propertypal.com/rugby-avenue-queens-quarter-belfast/635524" TargetMode="External"/><Relationship Id="rId272" Type="http://schemas.openxmlformats.org/officeDocument/2006/relationships/hyperlink" Target="https://www.propertypal.com/great-apartment-53b-agincourt-avenue-queens-quarter-belfast/240228" TargetMode="External"/><Relationship Id="rId273" Type="http://schemas.openxmlformats.org/officeDocument/2006/relationships/hyperlink" Target="https://www.propertypal.com/great-location-16c-rugby-avenue-queens-quarter-belfast/682234" TargetMode="External"/><Relationship Id="rId274" Type="http://schemas.openxmlformats.org/officeDocument/2006/relationships/hyperlink" Target="https://www.propertypal.com/great-location-122a-fitzroy-avenue-queens-quarter-belfast/681936" TargetMode="External"/><Relationship Id="rId275" Type="http://schemas.openxmlformats.org/officeDocument/2006/relationships/hyperlink" Target="https://www.propertypal.com/8-collingwood-avenue-holylands-belfast/231164" TargetMode="External"/><Relationship Id="rId276" Type="http://schemas.openxmlformats.org/officeDocument/2006/relationships/hyperlink" Target="https://www.propertypal.com/b-7-cameron-street-botanic-belfast/688021" TargetMode="External"/><Relationship Id="rId277" Type="http://schemas.openxmlformats.org/officeDocument/2006/relationships/hyperlink" Target="https://www.propertypal.com/52-delhi-street-off-ormeau-road-belfast/1077959" TargetMode="External"/><Relationship Id="rId278" Type="http://schemas.openxmlformats.org/officeDocument/2006/relationships/hyperlink" Target="https://www.propertypal.com/63-rugby-avenue-belfast/557660" TargetMode="External"/><Relationship Id="rId279" Type="http://schemas.openxmlformats.org/officeDocument/2006/relationships/hyperlink" Target="https://www.propertypal.com/65-rugby-avenue-belfast/557666" TargetMode="External"/><Relationship Id="rId280" Type="http://schemas.openxmlformats.org/officeDocument/2006/relationships/hyperlink" Target="https://www.propertypal.com/cromwell-road-botanic-avenue-belfast/442687" TargetMode="External"/><Relationship Id="rId281" Type="http://schemas.openxmlformats.org/officeDocument/2006/relationships/hyperlink" Target="https://www.propertypal.com/great-apartment-36b-university-avenue-queens-quarter-belfast/269049" TargetMode="External"/><Relationship Id="rId282" Type="http://schemas.openxmlformats.org/officeDocument/2006/relationships/hyperlink" Target="https://www.propertypal.com/great-5-bedroom-house-26-agincourt-street-queens-university-quarter-belfast/243291" TargetMode="External"/><Relationship Id="rId283" Type="http://schemas.openxmlformats.org/officeDocument/2006/relationships/hyperlink" Target="https://www.propertypal.com/great-apartment-62a-university-avenue-queens-quarter-belfast/689186" TargetMode="External"/><Relationship Id="rId284" Type="http://schemas.openxmlformats.org/officeDocument/2006/relationships/hyperlink" Target="https://www.propertypal.com/5-bedroom-hmo-26-agincourt-street-queens-quarter-belfast/258897" TargetMode="External"/><Relationship Id="rId285" Type="http://schemas.openxmlformats.org/officeDocument/2006/relationships/hyperlink" Target="https://www.propertypal.com/great-house-6-ava-avenue-ormeau-road-belfast/1056349" TargetMode="External"/><Relationship Id="rId286" Type="http://schemas.openxmlformats.org/officeDocument/2006/relationships/hyperlink" Target="https://www.propertypal.com/great-5-bedroom-house-6-ava-avenue-ormeau-road-belfast/1056547" TargetMode="External"/><Relationship Id="rId287" Type="http://schemas.openxmlformats.org/officeDocument/2006/relationships/hyperlink" Target="https://www.propertypal.com/great-location-21-palestine-street-queens-quarter-belfast/682211" TargetMode="External"/><Relationship Id="rId288" Type="http://schemas.openxmlformats.org/officeDocument/2006/relationships/hyperlink" Target="https://www.propertypal.com/great-student-house-2-penrose-street-queens-quarter-belfast/92579" TargetMode="External"/><Relationship Id="rId289" Type="http://schemas.openxmlformats.org/officeDocument/2006/relationships/hyperlink" Target="https://www.propertypal.com/university-avenue-queens-quarter-belfast/682452" TargetMode="External"/><Relationship Id="rId290" Type="http://schemas.openxmlformats.org/officeDocument/2006/relationships/hyperlink" Target="https://www.propertypal.com/great-5-bedroom-house-26-agincourt-street-queens-university-area-belfast/58728" TargetMode="External"/><Relationship Id="rId291" Type="http://schemas.openxmlformats.org/officeDocument/2006/relationships/hyperlink" Target="https://www.propertypal.com/e-97-fitzroy-avenue-belfast/205175" TargetMode="External"/><Relationship Id="rId292" Type="http://schemas.openxmlformats.org/officeDocument/2006/relationships/hyperlink" Target="https://www.propertypal.com/university-avenue-belfast/441212" TargetMode="External"/><Relationship Id="rId293" Type="http://schemas.openxmlformats.org/officeDocument/2006/relationships/hyperlink" Target="https://www.propertypal.com/9-fitzwilliam-square-queens-quarter-belfast/1060104" TargetMode="External"/><Relationship Id="rId294" Type="http://schemas.openxmlformats.org/officeDocument/2006/relationships/hyperlink" Target="https://www.propertypal.com/5-bedroom-apartment-9-fitzwilliam-square-queens-quarter-belfast/1056356" TargetMode="External"/><Relationship Id="rId295" Type="http://schemas.openxmlformats.org/officeDocument/2006/relationships/hyperlink" Target="https://www.propertypal.com/fitzroy-avenue-queens-quarter-belfast/199221" TargetMode="External"/><Relationship Id="rId296" Type="http://schemas.openxmlformats.org/officeDocument/2006/relationships/hyperlink" Target="https://www.propertypal.com/120-university-avenue-university-area-belfast/149751" TargetMode="External"/><Relationship Id="rId297" Type="http://schemas.openxmlformats.org/officeDocument/2006/relationships/hyperlink" Target="https://www.propertypal.com/rugby-avenue-queens-quarter-belfast/1058800" TargetMode="External"/><Relationship Id="rId298" Type="http://schemas.openxmlformats.org/officeDocument/2006/relationships/hyperlink" Target="https://www.propertypal.com/53-balfour-avenue-belfast/1078497" TargetMode="External"/><Relationship Id="rId299" Type="http://schemas.openxmlformats.org/officeDocument/2006/relationships/hyperlink" Target="https://www.propertypal.com/61-agincourt-avenue-10-month-lease-available-queens-quarter-belfast/1098291" TargetMode="External"/><Relationship Id="rId300" Type="http://schemas.openxmlformats.org/officeDocument/2006/relationships/hyperlink" Target="https://www.propertypal.com/carmel-street-queens-quarter-belfast/1005344" TargetMode="External"/><Relationship Id="rId301" Type="http://schemas.openxmlformats.org/officeDocument/2006/relationships/hyperlink" Target="https://www.propertypal.com/agincourt-avenue-queens-quarter-belfast/742416" TargetMode="External"/><Relationship Id="rId302" Type="http://schemas.openxmlformats.org/officeDocument/2006/relationships/hyperlink" Target="https://www.propertypal.com/two-great-apartments-34-magdala-street-botanic-queens-quarter-belfast/686695" TargetMode="External"/><Relationship Id="rId303" Type="http://schemas.openxmlformats.org/officeDocument/2006/relationships/hyperlink" Target="https://www.propertypal.com/two-great-apartments-73-agincourt-avenue-queens-quarter-belfast/742423" TargetMode="External"/><Relationship Id="rId304" Type="http://schemas.openxmlformats.org/officeDocument/2006/relationships/hyperlink" Target="https://www.propertypal.com/agincourt-avenue-university-quarter-belfast/139891" TargetMode="External"/><Relationship Id="rId305" Type="http://schemas.openxmlformats.org/officeDocument/2006/relationships/hyperlink" Target="https://www.propertypal.com/great-accommodation-54-fitzroy-avenue-queens-university-quarter-belfast/243798" TargetMode="External"/><Relationship Id="rId306" Type="http://schemas.openxmlformats.org/officeDocument/2006/relationships/hyperlink" Target="https://www.propertypal.com/3-great-apartments-34-magdala-street-botanic-area-belfast/685262" TargetMode="External"/><Relationship Id="rId307" Type="http://schemas.openxmlformats.org/officeDocument/2006/relationships/hyperlink" Target="https://www.propertypal.com/8-bedrooms-available-split-over-3-apartments-34-magdala-street-botbelfast/259572" TargetMode="External"/><Relationship Id="rId308" Type="http://schemas.openxmlformats.org/officeDocument/2006/relationships/hyperlink" Target="https://www.propertypal.com/three-great-apartments-34-magdala-street-queens-botanic-area-belfast/1056588" TargetMode="External"/><Relationship Id="rId309" Type="http://schemas.openxmlformats.org/officeDocument/2006/relationships/hyperlink" Target="https://www.propertypal.com/magdala-street-queens-quarter-belfast/682156" TargetMode="External"/><Relationship Id="rId310" Type="http://schemas.openxmlformats.org/officeDocument/2006/relationships/hyperlink" Target="https://www.propertypal.com/9-bedrooms-available-slit-over-3-apartments-76-rugby-avenue-queensbelfast/1058802" TargetMode="External"/><Relationship Id="rId311" Type="http://schemas.openxmlformats.org/officeDocument/2006/relationships/hyperlink" Target="https://www.propertypal.com/3-great-apartments-9-bedrooms-79-university-avenue-queens-quarter-belfast/691570" TargetMode="External"/><Relationship Id="rId312" Type="http://schemas.openxmlformats.org/officeDocument/2006/relationships/hyperlink" Target="https://www.propertypal.com/university-avenue-queens-quarter-belfast/925030" TargetMode="External"/><Relationship Id="rId31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5" min="4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5" t="n">
        <f aca="false">COUNTIFS('Let Agreed Listings'!$B$2:$B$313,"1",'Let Agreed Listings'!$D$2:$D$313,"BT7")</f>
        <v>40</v>
      </c>
      <c r="C6" s="6" t="n">
        <f aca="false">IFERROR(AVERAGEIFS('Let Agreed Listings'!$C$2:$C$313,'Let Agreed Listings'!$B$2:$B$313,"1",'Let Agreed Listings'!$D$2:$D$313,"BT7"),"-")</f>
        <v>783</v>
      </c>
      <c r="D6" s="6" t="n">
        <f aca="false">IF(B6=0,"-",_xlfn.MINIFS('Let Agreed Listings'!$C$2:$C$313,'Let Agreed Listings'!$B$2:$B$313,"1",'Let Agreed Listings'!$D$2:$D$313,"BT7"))</f>
        <v>470</v>
      </c>
      <c r="E6" s="6" t="n">
        <f aca="false">IF(B6=0,"-",_xlfn.MAXIFS('Let Agreed Listings'!$C$2:$C$313,'Let Agreed Listings'!$B$2:$B$313,"1",'Let Agreed Listings'!$D$2:$D$313,"BT7"))</f>
        <v>1450</v>
      </c>
    </row>
    <row r="7" customFormat="false" ht="15" hidden="false" customHeight="false" outlineLevel="0" collapsed="false">
      <c r="A7" s="5" t="s">
        <v>9</v>
      </c>
      <c r="B7" s="5" t="n">
        <f aca="false">COUNTIFS('Let Agreed Listings'!$B$2:$B$313,"2",'Let Agreed Listings'!$D$2:$D$313,"BT7")</f>
        <v>97</v>
      </c>
      <c r="C7" s="6" t="n">
        <f aca="false">IFERROR(AVERAGEIFS('Let Agreed Listings'!$C$2:$C$313,'Let Agreed Listings'!$B$2:$B$313,"2",'Let Agreed Listings'!$D$2:$D$313,"BT7"),"-")</f>
        <v>1069.69072164948</v>
      </c>
      <c r="D7" s="6" t="n">
        <f aca="false">IF(B7=0,"-",_xlfn.MINIFS('Let Agreed Listings'!$C$2:$C$313,'Let Agreed Listings'!$B$2:$B$313,"2",'Let Agreed Listings'!$D$2:$D$313,"BT7"))</f>
        <v>795</v>
      </c>
      <c r="E7" s="6" t="n">
        <f aca="false">IF(B7=0,"-",_xlfn.MAXIFS('Let Agreed Listings'!$C$2:$C$313,'Let Agreed Listings'!$B$2:$B$313,"2",'Let Agreed Listings'!$D$2:$D$313,"BT7"))</f>
        <v>1650</v>
      </c>
    </row>
    <row r="8" customFormat="false" ht="15" hidden="false" customHeight="false" outlineLevel="0" collapsed="false">
      <c r="A8" s="5" t="s">
        <v>10</v>
      </c>
      <c r="B8" s="5" t="n">
        <f aca="false">COUNTIFS('Let Agreed Listings'!$B$2:$B$313,"3",'Let Agreed Listings'!$D$2:$D$313,"BT7")</f>
        <v>66</v>
      </c>
      <c r="C8" s="6" t="n">
        <f aca="false">IFERROR(AVERAGEIFS('Let Agreed Listings'!$C$2:$C$313,'Let Agreed Listings'!$B$2:$B$313,"3",'Let Agreed Listings'!$D$2:$D$313,"BT7"),"-")</f>
        <v>1312.5</v>
      </c>
      <c r="D8" s="6" t="n">
        <f aca="false">IF(B8=0,"-",_xlfn.MINIFS('Let Agreed Listings'!$C$2:$C$313,'Let Agreed Listings'!$B$2:$B$313,"3",'Let Agreed Listings'!$D$2:$D$313,"BT7"))</f>
        <v>875</v>
      </c>
      <c r="E8" s="6" t="n">
        <f aca="false">IF(B8=0,"-",_xlfn.MAXIFS('Let Agreed Listings'!$C$2:$C$313,'Let Agreed Listings'!$B$2:$B$313,"3",'Let Agreed Listings'!$D$2:$D$313,"BT7"))</f>
        <v>1650</v>
      </c>
    </row>
    <row r="9" customFormat="false" ht="15" hidden="false" customHeight="false" outlineLevel="0" collapsed="false">
      <c r="A9" s="5" t="s">
        <v>11</v>
      </c>
      <c r="B9" s="5" t="n">
        <f aca="false">COUNTIFS('Let Agreed Listings'!$B$2:$B$313,"4",'Let Agreed Listings'!$D$2:$D$313,"BT7")</f>
        <v>37</v>
      </c>
      <c r="C9" s="6" t="n">
        <f aca="false">IFERROR(AVERAGEIFS('Let Agreed Listings'!$C$2:$C$313,'Let Agreed Listings'!$B$2:$B$313,"4",'Let Agreed Listings'!$D$2:$D$313,"BT7"),"-")</f>
        <v>1632.16216216216</v>
      </c>
      <c r="D9" s="6" t="n">
        <f aca="false">IF(B9=0,"-",_xlfn.MINIFS('Let Agreed Listings'!$C$2:$C$313,'Let Agreed Listings'!$B$2:$B$313,"4",'Let Agreed Listings'!$D$2:$D$313,"BT7"))</f>
        <v>1050</v>
      </c>
      <c r="E9" s="6" t="n">
        <f aca="false">IF(B9=0,"-",_xlfn.MAXIFS('Let Agreed Listings'!$C$2:$C$313,'Let Agreed Listings'!$B$2:$B$313,"4",'Let Agreed Listings'!$D$2:$D$313,"BT7"))</f>
        <v>1700</v>
      </c>
    </row>
    <row r="10" customFormat="false" ht="15" hidden="false" customHeight="false" outlineLevel="0" collapsed="false">
      <c r="A10" s="5" t="s">
        <v>12</v>
      </c>
      <c r="B10" s="5" t="n">
        <f aca="false">COUNTIFS('Let Agreed Listings'!$B$2:$B$313,"5",'Let Agreed Listings'!$D$2:$D$313,"BT7")</f>
        <v>24</v>
      </c>
      <c r="C10" s="6" t="n">
        <f aca="false">IFERROR(AVERAGEIFS('Let Agreed Listings'!$C$2:$C$313,'Let Agreed Listings'!$B$2:$B$313,"5",'Let Agreed Listings'!$D$2:$D$313,"BT7"),"-")</f>
        <v>1941.66666666667</v>
      </c>
      <c r="D10" s="6" t="n">
        <f aca="false">IF(B10=0,"-",_xlfn.MINIFS('Let Agreed Listings'!$C$2:$C$313,'Let Agreed Listings'!$B$2:$B$313,"5",'Let Agreed Listings'!$D$2:$D$313,"BT7"))</f>
        <v>1650</v>
      </c>
      <c r="E10" s="6" t="n">
        <f aca="false">IF(B10=0,"-",_xlfn.MAXIFS('Let Agreed Listings'!$C$2:$C$313,'Let Agreed Listings'!$B$2:$B$313,"5",'Let Agreed Listings'!$D$2:$D$313,"BT7"))</f>
        <v>2425</v>
      </c>
    </row>
    <row r="11" customFormat="false" ht="15" hidden="false" customHeight="false" outlineLevel="0" collapsed="false">
      <c r="A11" s="5" t="s">
        <v>13</v>
      </c>
      <c r="B11" s="5" t="n">
        <f aca="false">COUNTIFS('Let Agreed Listings'!$B$2:$B$313,"&gt;=6",'Let Agreed Listings'!$D$2:$D$313,"BT7")</f>
        <v>14</v>
      </c>
      <c r="C11" s="6" t="n">
        <f aca="false">IFERROR(AVERAGEIFS('Let Agreed Listings'!$C$2:$C$313,'Let Agreed Listings'!$B$2:$B$313,"&gt;=6",'Let Agreed Listings'!$D$2:$D$313,"BT7"),"-")</f>
        <v>3278.57142857143</v>
      </c>
      <c r="D11" s="6" t="n">
        <f aca="false">IF(B11=0,"-",_xlfn.MINIFS('Let Agreed Listings'!$C$2:$C$313,'Let Agreed Listings'!$B$2:$B$313,"&gt;=6",'Let Agreed Listings'!$D$2:$D$313,"BT7"))</f>
        <v>2700</v>
      </c>
      <c r="E11" s="6" t="n">
        <f aca="false">IF(B11=0,"-",_xlfn.MAXIFS('Let Agreed Listings'!$C$2:$C$313,'Let Agreed Listings'!$B$2:$B$313,"&gt;=6",'Let Agreed Listings'!$D$2:$D$313,"BT7"))</f>
        <v>4050</v>
      </c>
    </row>
    <row r="12" customFormat="false" ht="15" hidden="false" customHeight="false" outlineLevel="0" collapsed="false">
      <c r="A12" s="5" t="s">
        <v>14</v>
      </c>
      <c r="B12" s="5" t="n">
        <f aca="false">COUNTIFS('Let Agreed Listings'!$B$2:$B$313,"Room",'Let Agreed Listings'!$D$2:$D$313,"BT7")</f>
        <v>3</v>
      </c>
      <c r="C12" s="6" t="n">
        <f aca="false">IFERROR(AVERAGEIFS('Let Agreed Listings'!$C$2:$C$313,'Let Agreed Listings'!$B$2:$B$313,"Room",'Let Agreed Listings'!$D$2:$D$313,"BT7"),"-")</f>
        <v>556.333333333333</v>
      </c>
      <c r="D12" s="6" t="n">
        <f aca="false">IF(B12=0,"-",_xlfn.MINIFS('Let Agreed Listings'!$C$2:$C$313,'Let Agreed Listings'!$B$2:$B$313,"Room",'Let Agreed Listings'!$D$2:$D$313,"BT7"))</f>
        <v>500</v>
      </c>
      <c r="E12" s="6" t="n">
        <f aca="false">IF(B12=0,"-",_xlfn.MAXIFS('Let Agreed Listings'!$C$2:$C$313,'Let Agreed Listings'!$B$2:$B$313,"Room",'Let Agreed Listings'!$D$2:$D$313,"BT7"))</f>
        <v>589</v>
      </c>
    </row>
    <row r="13" customFormat="false" ht="15" hidden="false" customHeight="false" outlineLevel="0" collapsed="false">
      <c r="A13" s="7" t="s">
        <v>15</v>
      </c>
      <c r="B13" s="7" t="n">
        <f aca="false">SUM(B6:B12)</f>
        <v>281</v>
      </c>
    </row>
    <row r="15" customFormat="false" ht="15" hidden="false" customHeight="false" outlineLevel="0" collapsed="false">
      <c r="A15" s="3" t="s">
        <v>16</v>
      </c>
    </row>
    <row r="16" customFormat="false" ht="15" hidden="false" customHeight="false" outlineLevel="0" collapsed="false">
      <c r="A16" s="4" t="s">
        <v>3</v>
      </c>
      <c r="B16" s="4" t="s">
        <v>4</v>
      </c>
      <c r="C16" s="4" t="s">
        <v>5</v>
      </c>
      <c r="D16" s="4" t="s">
        <v>6</v>
      </c>
      <c r="E16" s="4" t="s">
        <v>7</v>
      </c>
    </row>
    <row r="17" customFormat="false" ht="15" hidden="false" customHeight="false" outlineLevel="0" collapsed="false">
      <c r="A17" s="5" t="s">
        <v>8</v>
      </c>
      <c r="B17" s="5" t="n">
        <f aca="false">COUNTIFS('Let Agreed Listings'!$B$2:$B$313,"1",'Let Agreed Listings'!$D$2:$D$313,"BT12")</f>
        <v>1</v>
      </c>
      <c r="C17" s="6" t="n">
        <f aca="false">IFERROR(AVERAGEIFS('Let Agreed Listings'!$C$2:$C$313,'Let Agreed Listings'!$B$2:$B$313,"1",'Let Agreed Listings'!$D$2:$D$313,"BT12"),"-")</f>
        <v>950</v>
      </c>
      <c r="D17" s="6" t="n">
        <f aca="false">IF(B17=0,"-",_xlfn.MINIFS('Let Agreed Listings'!$C$2:$C$313,'Let Agreed Listings'!$B$2:$B$313,"1",'Let Agreed Listings'!$D$2:$D$313,"BT12"))</f>
        <v>950</v>
      </c>
      <c r="E17" s="6" t="n">
        <f aca="false">IF(B17=0,"-",_xlfn.MAXIFS('Let Agreed Listings'!$C$2:$C$313,'Let Agreed Listings'!$B$2:$B$313,"1",'Let Agreed Listings'!$D$2:$D$313,"BT12"))</f>
        <v>950</v>
      </c>
    </row>
    <row r="18" customFormat="false" ht="15" hidden="false" customHeight="false" outlineLevel="0" collapsed="false">
      <c r="A18" s="5" t="s">
        <v>9</v>
      </c>
      <c r="B18" s="5" t="n">
        <f aca="false">COUNTIFS('Let Agreed Listings'!$B$2:$B$313,"2",'Let Agreed Listings'!$D$2:$D$313,"BT12")</f>
        <v>23</v>
      </c>
      <c r="C18" s="6" t="n">
        <f aca="false">IFERROR(AVERAGEIFS('Let Agreed Listings'!$C$2:$C$313,'Let Agreed Listings'!$B$2:$B$313,"2",'Let Agreed Listings'!$D$2:$D$313,"BT12"),"-")</f>
        <v>937.826086956522</v>
      </c>
      <c r="D18" s="6" t="n">
        <f aca="false">IF(B18=0,"-",_xlfn.MINIFS('Let Agreed Listings'!$C$2:$C$313,'Let Agreed Listings'!$B$2:$B$313,"2",'Let Agreed Listings'!$D$2:$D$313,"BT12"))</f>
        <v>750</v>
      </c>
      <c r="E18" s="6" t="n">
        <f aca="false">IF(B18=0,"-",_xlfn.MAXIFS('Let Agreed Listings'!$C$2:$C$313,'Let Agreed Listings'!$B$2:$B$313,"2",'Let Agreed Listings'!$D$2:$D$313,"BT12"))</f>
        <v>1300</v>
      </c>
    </row>
    <row r="19" customFormat="false" ht="15" hidden="false" customHeight="false" outlineLevel="0" collapsed="false">
      <c r="A19" s="5" t="s">
        <v>10</v>
      </c>
      <c r="B19" s="5" t="n">
        <f aca="false">COUNTIFS('Let Agreed Listings'!$B$2:$B$313,"3",'Let Agreed Listings'!$D$2:$D$313,"BT12")</f>
        <v>4</v>
      </c>
      <c r="C19" s="6" t="n">
        <f aca="false">IFERROR(AVERAGEIFS('Let Agreed Listings'!$C$2:$C$313,'Let Agreed Listings'!$B$2:$B$313,"3",'Let Agreed Listings'!$D$2:$D$313,"BT12"),"-")</f>
        <v>987.5</v>
      </c>
      <c r="D19" s="6" t="n">
        <f aca="false">IF(B19=0,"-",_xlfn.MINIFS('Let Agreed Listings'!$C$2:$C$313,'Let Agreed Listings'!$B$2:$B$313,"3",'Let Agreed Listings'!$D$2:$D$313,"BT12"))</f>
        <v>875</v>
      </c>
      <c r="E19" s="6" t="n">
        <f aca="false">IF(B19=0,"-",_xlfn.MAXIFS('Let Agreed Listings'!$C$2:$C$313,'Let Agreed Listings'!$B$2:$B$313,"3",'Let Agreed Listings'!$D$2:$D$313,"BT12"))</f>
        <v>1100</v>
      </c>
    </row>
    <row r="20" customFormat="false" ht="15" hidden="false" customHeight="false" outlineLevel="0" collapsed="false">
      <c r="A20" s="5" t="s">
        <v>11</v>
      </c>
      <c r="B20" s="5" t="n">
        <f aca="false">COUNTIFS('Let Agreed Listings'!$B$2:$B$313,"4",'Let Agreed Listings'!$D$2:$D$313,"BT12")</f>
        <v>3</v>
      </c>
      <c r="C20" s="6" t="n">
        <f aca="false">IFERROR(AVERAGEIFS('Let Agreed Listings'!$C$2:$C$313,'Let Agreed Listings'!$B$2:$B$313,"4",'Let Agreed Listings'!$D$2:$D$313,"BT12"),"-")</f>
        <v>1416.66666666667</v>
      </c>
      <c r="D20" s="6" t="n">
        <f aca="false">IF(B20=0,"-",_xlfn.MINIFS('Let Agreed Listings'!$C$2:$C$313,'Let Agreed Listings'!$B$2:$B$313,"4",'Let Agreed Listings'!$D$2:$D$313,"BT12"))</f>
        <v>1250</v>
      </c>
      <c r="E20" s="6" t="n">
        <f aca="false">IF(B20=0,"-",_xlfn.MAXIFS('Let Agreed Listings'!$C$2:$C$313,'Let Agreed Listings'!$B$2:$B$313,"4",'Let Agreed Listings'!$D$2:$D$313,"BT12"))</f>
        <v>1600</v>
      </c>
    </row>
    <row r="21" customFormat="false" ht="15" hidden="false" customHeight="false" outlineLevel="0" collapsed="false">
      <c r="A21" s="5" t="s">
        <v>12</v>
      </c>
      <c r="B21" s="5" t="n">
        <f aca="false">COUNTIFS('Let Agreed Listings'!$B$2:$B$313,"5",'Let Agreed Listings'!$D$2:$D$313,"BT12")</f>
        <v>0</v>
      </c>
      <c r="C21" s="6" t="str">
        <f aca="false">IFERROR(AVERAGEIFS('Let Agreed Listings'!$C$2:$C$313,'Let Agreed Listings'!$B$2:$B$313,"5",'Let Agreed Listings'!$D$2:$D$313,"BT12"),"-")</f>
        <v>-</v>
      </c>
      <c r="D21" s="6" t="str">
        <f aca="false">IF(B21=0,"-",_xlfn.MINIFS('Let Agreed Listings'!$C$2:$C$313,'Let Agreed Listings'!$B$2:$B$313,"5",'Let Agreed Listings'!$D$2:$D$313,"BT12"))</f>
        <v>-</v>
      </c>
      <c r="E21" s="6" t="str">
        <f aca="false">IF(B21=0,"-",_xlfn.MAXIFS('Let Agreed Listings'!$C$2:$C$313,'Let Agreed Listings'!$B$2:$B$313,"5",'Let Agreed Listings'!$D$2:$D$313,"BT12"))</f>
        <v>-</v>
      </c>
    </row>
    <row r="22" customFormat="false" ht="15" hidden="false" customHeight="false" outlineLevel="0" collapsed="false">
      <c r="A22" s="5" t="s">
        <v>13</v>
      </c>
      <c r="B22" s="5" t="n">
        <f aca="false">COUNTIFS('Let Agreed Listings'!$B$2:$B$313,"&gt;=6",'Let Agreed Listings'!$D$2:$D$313,"BT12")</f>
        <v>0</v>
      </c>
      <c r="C22" s="6" t="str">
        <f aca="false">IFERROR(AVERAGEIFS('Let Agreed Listings'!$C$2:$C$313,'Let Agreed Listings'!$B$2:$B$313,"&gt;=6",'Let Agreed Listings'!$D$2:$D$313,"BT12"),"-")</f>
        <v>-</v>
      </c>
      <c r="D22" s="6" t="str">
        <f aca="false">IF(B22=0,"-",_xlfn.MINIFS('Let Agreed Listings'!$C$2:$C$313,'Let Agreed Listings'!$B$2:$B$313,"&gt;=6",'Let Agreed Listings'!$D$2:$D$313,"BT12"))</f>
        <v>-</v>
      </c>
      <c r="E22" s="6" t="str">
        <f aca="false">IF(B22=0,"-",_xlfn.MAXIFS('Let Agreed Listings'!$C$2:$C$313,'Let Agreed Listings'!$B$2:$B$313,"&gt;=6",'Let Agreed Listings'!$D$2:$D$313,"BT12"))</f>
        <v>-</v>
      </c>
    </row>
    <row r="23" customFormat="false" ht="15" hidden="false" customHeight="false" outlineLevel="0" collapsed="false">
      <c r="A23" s="5" t="s">
        <v>14</v>
      </c>
      <c r="B23" s="5" t="n">
        <f aca="false">COUNTIFS('Let Agreed Listings'!$B$2:$B$313,"Room",'Let Agreed Listings'!$D$2:$D$313,"BT12")</f>
        <v>0</v>
      </c>
      <c r="C23" s="6" t="str">
        <f aca="false">IFERROR(AVERAGEIFS('Let Agreed Listings'!$C$2:$C$313,'Let Agreed Listings'!$B$2:$B$313,"Room",'Let Agreed Listings'!$D$2:$D$313,"BT12"),"-")</f>
        <v>-</v>
      </c>
      <c r="D23" s="6" t="str">
        <f aca="false">IF(B23=0,"-",_xlfn.MINIFS('Let Agreed Listings'!$C$2:$C$313,'Let Agreed Listings'!$B$2:$B$313,"Room",'Let Agreed Listings'!$D$2:$D$313,"BT12"))</f>
        <v>-</v>
      </c>
      <c r="E23" s="6" t="str">
        <f aca="false">IF(B23=0,"-",_xlfn.MAXIFS('Let Agreed Listings'!$C$2:$C$313,'Let Agreed Listings'!$B$2:$B$313,"Room",'Let Agreed Listings'!$D$2:$D$313,"BT12"))</f>
        <v>-</v>
      </c>
    </row>
    <row r="24" customFormat="false" ht="15" hidden="false" customHeight="false" outlineLevel="0" collapsed="false">
      <c r="A24" s="7" t="s">
        <v>15</v>
      </c>
      <c r="B24" s="7" t="n">
        <f aca="false">SUM(B17:B23)</f>
        <v>31</v>
      </c>
    </row>
    <row r="26" customFormat="false" ht="15" hidden="false" customHeight="false" outlineLevel="0" collapsed="false">
      <c r="A26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9"/>
    <col collapsed="false" customWidth="true" hidden="false" outlineLevel="0" max="8" min="8" style="0" width="36"/>
  </cols>
  <sheetData>
    <row r="1" customFormat="false" ht="26.85" hidden="false" customHeight="false" outlineLevel="0" collapsed="false">
      <c r="A1" s="8" t="s">
        <v>18</v>
      </c>
      <c r="B1" s="8" t="s">
        <v>3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24</v>
      </c>
    </row>
    <row r="2" customFormat="false" ht="15" hidden="false" customHeight="false" outlineLevel="0" collapsed="false">
      <c r="A2" s="9" t="s">
        <v>25</v>
      </c>
      <c r="B2" s="10" t="n">
        <v>1</v>
      </c>
      <c r="C2" s="11" t="n">
        <v>950</v>
      </c>
      <c r="D2" s="10" t="s">
        <v>16</v>
      </c>
      <c r="E2" s="9" t="s">
        <v>26</v>
      </c>
      <c r="F2" s="9" t="s">
        <v>27</v>
      </c>
      <c r="G2" s="12" t="s">
        <v>28</v>
      </c>
      <c r="H2" s="9"/>
    </row>
    <row r="3" customFormat="false" ht="15" hidden="false" customHeight="false" outlineLevel="0" collapsed="false">
      <c r="A3" s="9" t="s">
        <v>29</v>
      </c>
      <c r="B3" s="10" t="n">
        <v>2</v>
      </c>
      <c r="C3" s="11" t="n">
        <v>750</v>
      </c>
      <c r="D3" s="10" t="s">
        <v>16</v>
      </c>
      <c r="E3" s="9" t="s">
        <v>30</v>
      </c>
      <c r="F3" s="9" t="s">
        <v>31</v>
      </c>
      <c r="G3" s="12" t="s">
        <v>28</v>
      </c>
      <c r="H3" s="9"/>
    </row>
    <row r="4" customFormat="false" ht="15" hidden="false" customHeight="false" outlineLevel="0" collapsed="false">
      <c r="A4" s="9" t="s">
        <v>32</v>
      </c>
      <c r="B4" s="10" t="n">
        <v>2</v>
      </c>
      <c r="C4" s="11" t="n">
        <v>795</v>
      </c>
      <c r="D4" s="10" t="s">
        <v>16</v>
      </c>
      <c r="E4" s="9" t="s">
        <v>26</v>
      </c>
      <c r="F4" s="9" t="s">
        <v>27</v>
      </c>
      <c r="G4" s="12" t="s">
        <v>28</v>
      </c>
      <c r="H4" s="9"/>
    </row>
    <row r="5" customFormat="false" ht="15" hidden="false" customHeight="false" outlineLevel="0" collapsed="false">
      <c r="A5" s="9" t="s">
        <v>33</v>
      </c>
      <c r="B5" s="10" t="n">
        <v>2</v>
      </c>
      <c r="C5" s="11" t="n">
        <v>795</v>
      </c>
      <c r="D5" s="10" t="s">
        <v>16</v>
      </c>
      <c r="E5" s="9" t="s">
        <v>34</v>
      </c>
      <c r="F5" s="9" t="s">
        <v>35</v>
      </c>
      <c r="G5" s="12" t="s">
        <v>28</v>
      </c>
      <c r="H5" s="9"/>
    </row>
    <row r="6" customFormat="false" ht="15" hidden="false" customHeight="false" outlineLevel="0" collapsed="false">
      <c r="A6" s="9" t="s">
        <v>36</v>
      </c>
      <c r="B6" s="10" t="n">
        <v>2</v>
      </c>
      <c r="C6" s="11" t="n">
        <v>825</v>
      </c>
      <c r="D6" s="10" t="s">
        <v>16</v>
      </c>
      <c r="E6" s="9" t="s">
        <v>37</v>
      </c>
      <c r="F6" s="9" t="s">
        <v>35</v>
      </c>
      <c r="G6" s="12" t="s">
        <v>28</v>
      </c>
      <c r="H6" s="9"/>
    </row>
    <row r="7" customFormat="false" ht="15" hidden="false" customHeight="false" outlineLevel="0" collapsed="false">
      <c r="A7" s="9" t="s">
        <v>38</v>
      </c>
      <c r="B7" s="10" t="n">
        <v>2</v>
      </c>
      <c r="C7" s="11" t="n">
        <v>825</v>
      </c>
      <c r="D7" s="10" t="s">
        <v>16</v>
      </c>
      <c r="E7" s="9" t="s">
        <v>39</v>
      </c>
      <c r="F7" s="9" t="s">
        <v>35</v>
      </c>
      <c r="G7" s="12" t="s">
        <v>28</v>
      </c>
      <c r="H7" s="9"/>
    </row>
    <row r="8" customFormat="false" ht="15" hidden="false" customHeight="false" outlineLevel="0" collapsed="false">
      <c r="A8" s="9" t="s">
        <v>40</v>
      </c>
      <c r="B8" s="10" t="n">
        <v>2</v>
      </c>
      <c r="C8" s="11" t="n">
        <v>850</v>
      </c>
      <c r="D8" s="10" t="s">
        <v>16</v>
      </c>
      <c r="E8" s="9" t="s">
        <v>41</v>
      </c>
      <c r="F8" s="9" t="s">
        <v>35</v>
      </c>
      <c r="G8" s="12" t="s">
        <v>28</v>
      </c>
      <c r="H8" s="9"/>
    </row>
    <row r="9" customFormat="false" ht="15" hidden="false" customHeight="false" outlineLevel="0" collapsed="false">
      <c r="A9" s="9" t="s">
        <v>42</v>
      </c>
      <c r="B9" s="10" t="n">
        <v>2</v>
      </c>
      <c r="C9" s="11" t="n">
        <v>850</v>
      </c>
      <c r="D9" s="10" t="s">
        <v>16</v>
      </c>
      <c r="E9" s="9" t="s">
        <v>43</v>
      </c>
      <c r="F9" s="9" t="s">
        <v>44</v>
      </c>
      <c r="G9" s="12" t="s">
        <v>28</v>
      </c>
      <c r="H9" s="9"/>
    </row>
    <row r="10" customFormat="false" ht="15" hidden="false" customHeight="false" outlineLevel="0" collapsed="false">
      <c r="A10" s="9" t="s">
        <v>45</v>
      </c>
      <c r="B10" s="10" t="n">
        <v>2</v>
      </c>
      <c r="C10" s="11" t="n">
        <v>850</v>
      </c>
      <c r="D10" s="10" t="s">
        <v>16</v>
      </c>
      <c r="E10" s="9" t="s">
        <v>46</v>
      </c>
      <c r="F10" s="9" t="s">
        <v>35</v>
      </c>
      <c r="G10" s="12" t="s">
        <v>28</v>
      </c>
      <c r="H10" s="9"/>
    </row>
    <row r="11" customFormat="false" ht="15" hidden="false" customHeight="false" outlineLevel="0" collapsed="false">
      <c r="A11" s="9" t="s">
        <v>47</v>
      </c>
      <c r="B11" s="10" t="n">
        <v>2</v>
      </c>
      <c r="C11" s="11" t="n">
        <v>850</v>
      </c>
      <c r="D11" s="10" t="s">
        <v>16</v>
      </c>
      <c r="E11" s="9" t="s">
        <v>43</v>
      </c>
      <c r="F11" s="9" t="s">
        <v>35</v>
      </c>
      <c r="G11" s="12" t="s">
        <v>28</v>
      </c>
      <c r="H11" s="9"/>
    </row>
    <row r="12" customFormat="false" ht="15" hidden="false" customHeight="false" outlineLevel="0" collapsed="false">
      <c r="A12" s="9" t="s">
        <v>48</v>
      </c>
      <c r="B12" s="10" t="n">
        <v>2</v>
      </c>
      <c r="C12" s="11" t="n">
        <v>875</v>
      </c>
      <c r="D12" s="10" t="s">
        <v>16</v>
      </c>
      <c r="E12" s="9" t="s">
        <v>49</v>
      </c>
      <c r="F12" s="9" t="s">
        <v>35</v>
      </c>
      <c r="G12" s="12" t="s">
        <v>28</v>
      </c>
      <c r="H12" s="9"/>
    </row>
    <row r="13" customFormat="false" ht="15" hidden="false" customHeight="false" outlineLevel="0" collapsed="false">
      <c r="A13" s="9" t="s">
        <v>50</v>
      </c>
      <c r="B13" s="10" t="n">
        <v>2</v>
      </c>
      <c r="C13" s="11" t="n">
        <v>875</v>
      </c>
      <c r="D13" s="10" t="s">
        <v>16</v>
      </c>
      <c r="E13" s="9" t="s">
        <v>49</v>
      </c>
      <c r="F13" s="9" t="s">
        <v>35</v>
      </c>
      <c r="G13" s="12" t="s">
        <v>28</v>
      </c>
      <c r="H13" s="9"/>
    </row>
    <row r="14" customFormat="false" ht="15" hidden="false" customHeight="false" outlineLevel="0" collapsed="false">
      <c r="A14" s="9" t="s">
        <v>51</v>
      </c>
      <c r="B14" s="10" t="n">
        <v>2</v>
      </c>
      <c r="C14" s="11" t="n">
        <v>895</v>
      </c>
      <c r="D14" s="10" t="s">
        <v>16</v>
      </c>
      <c r="E14" s="9" t="s">
        <v>52</v>
      </c>
      <c r="F14" s="9" t="s">
        <v>35</v>
      </c>
      <c r="G14" s="12" t="s">
        <v>28</v>
      </c>
      <c r="H14" s="9"/>
    </row>
    <row r="15" customFormat="false" ht="15" hidden="false" customHeight="false" outlineLevel="0" collapsed="false">
      <c r="A15" s="9" t="s">
        <v>53</v>
      </c>
      <c r="B15" s="10" t="n">
        <v>2</v>
      </c>
      <c r="C15" s="11" t="n">
        <v>895</v>
      </c>
      <c r="D15" s="10" t="s">
        <v>16</v>
      </c>
      <c r="E15" s="9" t="s">
        <v>54</v>
      </c>
      <c r="F15" s="9" t="s">
        <v>35</v>
      </c>
      <c r="G15" s="12" t="s">
        <v>28</v>
      </c>
      <c r="H15" s="9"/>
    </row>
    <row r="16" customFormat="false" ht="15" hidden="false" customHeight="false" outlineLevel="0" collapsed="false">
      <c r="A16" s="9" t="s">
        <v>55</v>
      </c>
      <c r="B16" s="10" t="n">
        <v>2</v>
      </c>
      <c r="C16" s="11" t="n">
        <v>895</v>
      </c>
      <c r="D16" s="10" t="s">
        <v>16</v>
      </c>
      <c r="E16" s="9" t="s">
        <v>56</v>
      </c>
      <c r="F16" s="9" t="s">
        <v>35</v>
      </c>
      <c r="G16" s="12" t="s">
        <v>28</v>
      </c>
      <c r="H16" s="9"/>
    </row>
    <row r="17" customFormat="false" ht="15" hidden="false" customHeight="false" outlineLevel="0" collapsed="false">
      <c r="A17" s="9" t="s">
        <v>57</v>
      </c>
      <c r="B17" s="10" t="n">
        <v>2</v>
      </c>
      <c r="C17" s="11" t="n">
        <v>900</v>
      </c>
      <c r="D17" s="10" t="s">
        <v>16</v>
      </c>
      <c r="E17" s="9" t="s">
        <v>58</v>
      </c>
      <c r="F17" s="9" t="s">
        <v>44</v>
      </c>
      <c r="G17" s="12" t="s">
        <v>28</v>
      </c>
      <c r="H17" s="9"/>
    </row>
    <row r="18" customFormat="false" ht="15" hidden="false" customHeight="false" outlineLevel="0" collapsed="false">
      <c r="A18" s="9" t="s">
        <v>59</v>
      </c>
      <c r="B18" s="10" t="n">
        <v>2</v>
      </c>
      <c r="C18" s="11" t="n">
        <v>900</v>
      </c>
      <c r="D18" s="10" t="s">
        <v>16</v>
      </c>
      <c r="E18" s="9" t="s">
        <v>60</v>
      </c>
      <c r="F18" s="9" t="s">
        <v>31</v>
      </c>
      <c r="G18" s="12" t="s">
        <v>28</v>
      </c>
      <c r="H18" s="9"/>
    </row>
    <row r="19" customFormat="false" ht="15" hidden="false" customHeight="false" outlineLevel="0" collapsed="false">
      <c r="A19" s="9" t="s">
        <v>61</v>
      </c>
      <c r="B19" s="10" t="n">
        <v>2</v>
      </c>
      <c r="C19" s="11" t="n">
        <v>925</v>
      </c>
      <c r="D19" s="10" t="s">
        <v>16</v>
      </c>
      <c r="E19" s="9" t="s">
        <v>62</v>
      </c>
      <c r="F19" s="9" t="s">
        <v>63</v>
      </c>
      <c r="G19" s="12" t="s">
        <v>28</v>
      </c>
      <c r="H19" s="9"/>
    </row>
    <row r="20" customFormat="false" ht="15" hidden="false" customHeight="false" outlineLevel="0" collapsed="false">
      <c r="A20" s="9" t="s">
        <v>64</v>
      </c>
      <c r="B20" s="10" t="n">
        <v>2</v>
      </c>
      <c r="C20" s="11" t="n">
        <v>950</v>
      </c>
      <c r="D20" s="10" t="s">
        <v>16</v>
      </c>
      <c r="E20" s="9" t="s">
        <v>65</v>
      </c>
      <c r="F20" s="9" t="s">
        <v>35</v>
      </c>
      <c r="G20" s="12" t="s">
        <v>28</v>
      </c>
      <c r="H20" s="9"/>
    </row>
    <row r="21" customFormat="false" ht="15" hidden="false" customHeight="false" outlineLevel="0" collapsed="false">
      <c r="A21" s="9" t="s">
        <v>66</v>
      </c>
      <c r="B21" s="10" t="n">
        <v>2</v>
      </c>
      <c r="C21" s="11" t="n">
        <v>995</v>
      </c>
      <c r="D21" s="10" t="s">
        <v>16</v>
      </c>
      <c r="E21" s="9" t="s">
        <v>67</v>
      </c>
      <c r="F21" s="9" t="s">
        <v>35</v>
      </c>
      <c r="G21" s="12" t="s">
        <v>28</v>
      </c>
      <c r="H21" s="9"/>
    </row>
    <row r="22" customFormat="false" ht="15" hidden="false" customHeight="false" outlineLevel="0" collapsed="false">
      <c r="A22" s="9" t="s">
        <v>68</v>
      </c>
      <c r="B22" s="10" t="n">
        <v>2</v>
      </c>
      <c r="C22" s="11" t="n">
        <v>1250</v>
      </c>
      <c r="D22" s="10" t="s">
        <v>16</v>
      </c>
      <c r="E22" s="9" t="s">
        <v>69</v>
      </c>
      <c r="F22" s="9" t="s">
        <v>27</v>
      </c>
      <c r="G22" s="12" t="s">
        <v>28</v>
      </c>
      <c r="H22" s="9"/>
    </row>
    <row r="23" customFormat="false" ht="15" hidden="false" customHeight="false" outlineLevel="0" collapsed="false">
      <c r="A23" s="9" t="s">
        <v>70</v>
      </c>
      <c r="B23" s="10" t="n">
        <v>2</v>
      </c>
      <c r="C23" s="11" t="n">
        <v>1250</v>
      </c>
      <c r="D23" s="10" t="s">
        <v>16</v>
      </c>
      <c r="E23" s="9" t="s">
        <v>71</v>
      </c>
      <c r="F23" s="9" t="s">
        <v>72</v>
      </c>
      <c r="G23" s="12" t="s">
        <v>28</v>
      </c>
      <c r="H23" s="9"/>
    </row>
    <row r="24" customFormat="false" ht="15" hidden="false" customHeight="false" outlineLevel="0" collapsed="false">
      <c r="A24" s="9" t="s">
        <v>73</v>
      </c>
      <c r="B24" s="10" t="n">
        <v>2</v>
      </c>
      <c r="C24" s="11" t="n">
        <v>1275</v>
      </c>
      <c r="D24" s="10" t="s">
        <v>16</v>
      </c>
      <c r="E24" s="9" t="s">
        <v>49</v>
      </c>
      <c r="F24" s="9" t="s">
        <v>74</v>
      </c>
      <c r="G24" s="12" t="s">
        <v>28</v>
      </c>
      <c r="H24" s="9"/>
    </row>
    <row r="25" customFormat="false" ht="15" hidden="false" customHeight="false" outlineLevel="0" collapsed="false">
      <c r="A25" s="9" t="s">
        <v>75</v>
      </c>
      <c r="B25" s="10" t="n">
        <v>2</v>
      </c>
      <c r="C25" s="11" t="n">
        <v>1300</v>
      </c>
      <c r="D25" s="10" t="s">
        <v>16</v>
      </c>
      <c r="E25" s="9" t="s">
        <v>65</v>
      </c>
      <c r="F25" s="9" t="s">
        <v>27</v>
      </c>
      <c r="G25" s="12" t="s">
        <v>28</v>
      </c>
      <c r="H25" s="9"/>
    </row>
    <row r="26" customFormat="false" ht="15" hidden="false" customHeight="false" outlineLevel="0" collapsed="false">
      <c r="A26" s="9" t="s">
        <v>76</v>
      </c>
      <c r="B26" s="10" t="n">
        <v>3</v>
      </c>
      <c r="C26" s="11" t="n">
        <v>875</v>
      </c>
      <c r="D26" s="10" t="s">
        <v>16</v>
      </c>
      <c r="E26" s="9" t="s">
        <v>39</v>
      </c>
      <c r="F26" s="9" t="s">
        <v>35</v>
      </c>
      <c r="G26" s="12" t="s">
        <v>28</v>
      </c>
      <c r="H26" s="9"/>
    </row>
    <row r="27" customFormat="false" ht="15" hidden="false" customHeight="false" outlineLevel="0" collapsed="false">
      <c r="A27" s="9" t="s">
        <v>77</v>
      </c>
      <c r="B27" s="10" t="n">
        <v>3</v>
      </c>
      <c r="C27" s="11" t="n">
        <v>925</v>
      </c>
      <c r="D27" s="10" t="s">
        <v>16</v>
      </c>
      <c r="E27" s="9" t="s">
        <v>78</v>
      </c>
      <c r="F27" s="9" t="s">
        <v>35</v>
      </c>
      <c r="G27" s="12" t="s">
        <v>28</v>
      </c>
      <c r="H27" s="9"/>
    </row>
    <row r="28" customFormat="false" ht="15" hidden="false" customHeight="false" outlineLevel="0" collapsed="false">
      <c r="A28" s="9" t="s">
        <v>79</v>
      </c>
      <c r="B28" s="10" t="n">
        <v>3</v>
      </c>
      <c r="C28" s="11" t="n">
        <v>1050</v>
      </c>
      <c r="D28" s="10" t="s">
        <v>16</v>
      </c>
      <c r="E28" s="9" t="s">
        <v>34</v>
      </c>
      <c r="F28" s="9" t="s">
        <v>35</v>
      </c>
      <c r="G28" s="12" t="s">
        <v>28</v>
      </c>
      <c r="H28" s="9"/>
    </row>
    <row r="29" customFormat="false" ht="15" hidden="false" customHeight="false" outlineLevel="0" collapsed="false">
      <c r="A29" s="9" t="s">
        <v>80</v>
      </c>
      <c r="B29" s="10" t="n">
        <v>3</v>
      </c>
      <c r="C29" s="11" t="n">
        <v>1100</v>
      </c>
      <c r="D29" s="10" t="s">
        <v>16</v>
      </c>
      <c r="E29" s="9" t="s">
        <v>81</v>
      </c>
      <c r="F29" s="9" t="s">
        <v>82</v>
      </c>
      <c r="G29" s="12" t="s">
        <v>28</v>
      </c>
      <c r="H29" s="9"/>
    </row>
    <row r="30" customFormat="false" ht="15" hidden="false" customHeight="false" outlineLevel="0" collapsed="false">
      <c r="A30" s="9" t="s">
        <v>83</v>
      </c>
      <c r="B30" s="10" t="n">
        <v>4</v>
      </c>
      <c r="C30" s="11" t="n">
        <v>1250</v>
      </c>
      <c r="D30" s="10" t="s">
        <v>16</v>
      </c>
      <c r="E30" s="9" t="s">
        <v>84</v>
      </c>
      <c r="F30" s="9" t="s">
        <v>44</v>
      </c>
      <c r="G30" s="12" t="s">
        <v>28</v>
      </c>
      <c r="H30" s="9"/>
    </row>
    <row r="31" customFormat="false" ht="15" hidden="false" customHeight="false" outlineLevel="0" collapsed="false">
      <c r="A31" s="9" t="s">
        <v>85</v>
      </c>
      <c r="B31" s="10" t="n">
        <v>4</v>
      </c>
      <c r="C31" s="11" t="n">
        <v>1400</v>
      </c>
      <c r="D31" s="10" t="s">
        <v>16</v>
      </c>
      <c r="E31" s="9" t="s">
        <v>86</v>
      </c>
      <c r="F31" s="9" t="s">
        <v>63</v>
      </c>
      <c r="G31" s="12" t="s">
        <v>28</v>
      </c>
      <c r="H31" s="9"/>
    </row>
    <row r="32" customFormat="false" ht="15" hidden="false" customHeight="false" outlineLevel="0" collapsed="false">
      <c r="A32" s="9" t="s">
        <v>87</v>
      </c>
      <c r="B32" s="10" t="n">
        <v>4</v>
      </c>
      <c r="C32" s="11" t="n">
        <v>1600</v>
      </c>
      <c r="D32" s="10" t="s">
        <v>16</v>
      </c>
      <c r="E32" s="9" t="s">
        <v>88</v>
      </c>
      <c r="F32" s="9" t="s">
        <v>63</v>
      </c>
      <c r="G32" s="12" t="s">
        <v>28</v>
      </c>
      <c r="H32" s="9"/>
    </row>
    <row r="33" customFormat="false" ht="15" hidden="false" customHeight="false" outlineLevel="0" collapsed="false">
      <c r="A33" s="9" t="s">
        <v>89</v>
      </c>
      <c r="B33" s="10" t="s">
        <v>90</v>
      </c>
      <c r="C33" s="11" t="n">
        <v>500</v>
      </c>
      <c r="D33" s="10" t="s">
        <v>2</v>
      </c>
      <c r="E33" s="9" t="s">
        <v>91</v>
      </c>
      <c r="F33" s="9" t="s">
        <v>14</v>
      </c>
      <c r="G33" s="12" t="s">
        <v>28</v>
      </c>
      <c r="H33" s="9"/>
    </row>
    <row r="34" customFormat="false" ht="15" hidden="false" customHeight="false" outlineLevel="0" collapsed="false">
      <c r="A34" s="9" t="s">
        <v>89</v>
      </c>
      <c r="B34" s="10" t="s">
        <v>90</v>
      </c>
      <c r="C34" s="11" t="n">
        <v>580</v>
      </c>
      <c r="D34" s="10" t="s">
        <v>2</v>
      </c>
      <c r="E34" s="9" t="s">
        <v>92</v>
      </c>
      <c r="F34" s="9" t="s">
        <v>14</v>
      </c>
      <c r="G34" s="12" t="s">
        <v>28</v>
      </c>
      <c r="H34" s="9"/>
    </row>
    <row r="35" customFormat="false" ht="15" hidden="false" customHeight="false" outlineLevel="0" collapsed="false">
      <c r="A35" s="9" t="s">
        <v>93</v>
      </c>
      <c r="B35" s="10" t="s">
        <v>90</v>
      </c>
      <c r="C35" s="11" t="n">
        <v>589</v>
      </c>
      <c r="D35" s="10" t="s">
        <v>2</v>
      </c>
      <c r="E35" s="9" t="s">
        <v>94</v>
      </c>
      <c r="F35" s="9" t="s">
        <v>14</v>
      </c>
      <c r="G35" s="12" t="s">
        <v>28</v>
      </c>
      <c r="H35" s="9"/>
    </row>
    <row r="36" customFormat="false" ht="15" hidden="false" customHeight="false" outlineLevel="0" collapsed="false">
      <c r="A36" s="9" t="s">
        <v>95</v>
      </c>
      <c r="B36" s="10" t="n">
        <v>1</v>
      </c>
      <c r="C36" s="11" t="n">
        <v>470</v>
      </c>
      <c r="D36" s="10" t="s">
        <v>2</v>
      </c>
      <c r="E36" s="9" t="s">
        <v>96</v>
      </c>
      <c r="F36" s="9" t="s">
        <v>44</v>
      </c>
      <c r="G36" s="12" t="s">
        <v>28</v>
      </c>
      <c r="H36" s="9"/>
    </row>
    <row r="37" customFormat="false" ht="15" hidden="false" customHeight="false" outlineLevel="0" collapsed="false">
      <c r="A37" s="9" t="s">
        <v>97</v>
      </c>
      <c r="B37" s="10" t="n">
        <v>1</v>
      </c>
      <c r="C37" s="11" t="n">
        <v>580</v>
      </c>
      <c r="D37" s="10" t="s">
        <v>2</v>
      </c>
      <c r="E37" s="9" t="s">
        <v>98</v>
      </c>
      <c r="F37" s="9" t="s">
        <v>99</v>
      </c>
      <c r="G37" s="12" t="s">
        <v>28</v>
      </c>
      <c r="H37" s="9"/>
    </row>
    <row r="38" customFormat="false" ht="15" hidden="false" customHeight="false" outlineLevel="0" collapsed="false">
      <c r="A38" s="9" t="s">
        <v>100</v>
      </c>
      <c r="B38" s="10" t="n">
        <v>1</v>
      </c>
      <c r="C38" s="11" t="n">
        <v>600</v>
      </c>
      <c r="D38" s="10" t="s">
        <v>2</v>
      </c>
      <c r="E38" s="9" t="s">
        <v>101</v>
      </c>
      <c r="F38" s="9" t="s">
        <v>102</v>
      </c>
      <c r="G38" s="12" t="s">
        <v>28</v>
      </c>
      <c r="H38" s="9"/>
    </row>
    <row r="39" customFormat="false" ht="15" hidden="false" customHeight="false" outlineLevel="0" collapsed="false">
      <c r="A39" s="9" t="s">
        <v>103</v>
      </c>
      <c r="B39" s="10" t="n">
        <v>1</v>
      </c>
      <c r="C39" s="11" t="n">
        <v>650</v>
      </c>
      <c r="D39" s="10" t="s">
        <v>2</v>
      </c>
      <c r="E39" s="9" t="s">
        <v>104</v>
      </c>
      <c r="F39" s="9" t="s">
        <v>105</v>
      </c>
      <c r="G39" s="12" t="s">
        <v>28</v>
      </c>
      <c r="H39" s="9"/>
    </row>
    <row r="40" customFormat="false" ht="15" hidden="false" customHeight="false" outlineLevel="0" collapsed="false">
      <c r="A40" s="9" t="s">
        <v>106</v>
      </c>
      <c r="B40" s="10" t="n">
        <v>1</v>
      </c>
      <c r="C40" s="11" t="n">
        <v>675</v>
      </c>
      <c r="D40" s="10" t="s">
        <v>2</v>
      </c>
      <c r="E40" s="9" t="s">
        <v>107</v>
      </c>
      <c r="F40" s="9" t="s">
        <v>27</v>
      </c>
      <c r="G40" s="12" t="s">
        <v>28</v>
      </c>
      <c r="H40" s="9"/>
    </row>
    <row r="41" customFormat="false" ht="15" hidden="false" customHeight="false" outlineLevel="0" collapsed="false">
      <c r="A41" s="9" t="s">
        <v>108</v>
      </c>
      <c r="B41" s="10" t="n">
        <v>1</v>
      </c>
      <c r="C41" s="11" t="n">
        <v>700</v>
      </c>
      <c r="D41" s="10" t="s">
        <v>2</v>
      </c>
      <c r="E41" s="9" t="s">
        <v>58</v>
      </c>
      <c r="F41" s="9" t="s">
        <v>27</v>
      </c>
      <c r="G41" s="12" t="s">
        <v>28</v>
      </c>
      <c r="H41" s="9"/>
    </row>
    <row r="42" customFormat="false" ht="15" hidden="false" customHeight="false" outlineLevel="0" collapsed="false">
      <c r="A42" s="9" t="s">
        <v>109</v>
      </c>
      <c r="B42" s="10" t="n">
        <v>1</v>
      </c>
      <c r="C42" s="11" t="n">
        <v>700</v>
      </c>
      <c r="D42" s="10" t="s">
        <v>2</v>
      </c>
      <c r="E42" s="9" t="s">
        <v>60</v>
      </c>
      <c r="F42" s="9" t="s">
        <v>27</v>
      </c>
      <c r="G42" s="12" t="s">
        <v>28</v>
      </c>
      <c r="H42" s="9"/>
    </row>
    <row r="43" customFormat="false" ht="15" hidden="false" customHeight="false" outlineLevel="0" collapsed="false">
      <c r="A43" s="9" t="s">
        <v>110</v>
      </c>
      <c r="B43" s="10" t="n">
        <v>1</v>
      </c>
      <c r="C43" s="11" t="n">
        <v>725</v>
      </c>
      <c r="D43" s="10" t="s">
        <v>2</v>
      </c>
      <c r="E43" s="9" t="s">
        <v>111</v>
      </c>
      <c r="F43" s="9" t="s">
        <v>27</v>
      </c>
      <c r="G43" s="12" t="s">
        <v>28</v>
      </c>
      <c r="H43" s="9"/>
    </row>
    <row r="44" customFormat="false" ht="15" hidden="false" customHeight="false" outlineLevel="0" collapsed="false">
      <c r="A44" s="9" t="s">
        <v>112</v>
      </c>
      <c r="B44" s="10" t="n">
        <v>1</v>
      </c>
      <c r="C44" s="11" t="n">
        <v>725</v>
      </c>
      <c r="D44" s="10" t="s">
        <v>2</v>
      </c>
      <c r="E44" s="9" t="s">
        <v>60</v>
      </c>
      <c r="F44" s="9" t="s">
        <v>27</v>
      </c>
      <c r="G44" s="12" t="s">
        <v>28</v>
      </c>
      <c r="H44" s="9"/>
    </row>
    <row r="45" customFormat="false" ht="15" hidden="false" customHeight="false" outlineLevel="0" collapsed="false">
      <c r="A45" s="9" t="s">
        <v>113</v>
      </c>
      <c r="B45" s="10" t="n">
        <v>1</v>
      </c>
      <c r="C45" s="11" t="n">
        <v>750</v>
      </c>
      <c r="D45" s="10" t="s">
        <v>2</v>
      </c>
      <c r="E45" s="9" t="s">
        <v>114</v>
      </c>
      <c r="F45" s="9" t="s">
        <v>115</v>
      </c>
      <c r="G45" s="12" t="s">
        <v>28</v>
      </c>
      <c r="H45" s="9"/>
    </row>
    <row r="46" customFormat="false" ht="15" hidden="false" customHeight="false" outlineLevel="0" collapsed="false">
      <c r="A46" s="9" t="s">
        <v>116</v>
      </c>
      <c r="B46" s="10" t="n">
        <v>1</v>
      </c>
      <c r="C46" s="11" t="n">
        <v>750</v>
      </c>
      <c r="D46" s="10" t="s">
        <v>2</v>
      </c>
      <c r="E46" s="9" t="s">
        <v>39</v>
      </c>
      <c r="F46" s="9" t="s">
        <v>117</v>
      </c>
      <c r="G46" s="12" t="s">
        <v>28</v>
      </c>
      <c r="H46" s="9"/>
    </row>
    <row r="47" customFormat="false" ht="15" hidden="false" customHeight="false" outlineLevel="0" collapsed="false">
      <c r="A47" s="9" t="s">
        <v>118</v>
      </c>
      <c r="B47" s="10" t="n">
        <v>1</v>
      </c>
      <c r="C47" s="11" t="n">
        <v>750</v>
      </c>
      <c r="D47" s="10" t="s">
        <v>2</v>
      </c>
      <c r="E47" s="9" t="s">
        <v>119</v>
      </c>
      <c r="F47" s="9" t="s">
        <v>120</v>
      </c>
      <c r="G47" s="12" t="s">
        <v>28</v>
      </c>
      <c r="H47" s="9"/>
    </row>
    <row r="48" customFormat="false" ht="15" hidden="false" customHeight="false" outlineLevel="0" collapsed="false">
      <c r="A48" s="9" t="s">
        <v>121</v>
      </c>
      <c r="B48" s="10" t="n">
        <v>1</v>
      </c>
      <c r="C48" s="11" t="n">
        <v>750</v>
      </c>
      <c r="D48" s="10" t="s">
        <v>2</v>
      </c>
      <c r="E48" s="9" t="s">
        <v>98</v>
      </c>
      <c r="F48" s="9" t="s">
        <v>27</v>
      </c>
      <c r="G48" s="12" t="s">
        <v>28</v>
      </c>
      <c r="H48" s="9"/>
    </row>
    <row r="49" customFormat="false" ht="15" hidden="false" customHeight="false" outlineLevel="0" collapsed="false">
      <c r="A49" s="9" t="s">
        <v>122</v>
      </c>
      <c r="B49" s="10" t="n">
        <v>1</v>
      </c>
      <c r="C49" s="11" t="n">
        <v>750</v>
      </c>
      <c r="D49" s="10" t="s">
        <v>2</v>
      </c>
      <c r="E49" s="9" t="s">
        <v>123</v>
      </c>
      <c r="F49" s="9" t="s">
        <v>117</v>
      </c>
      <c r="G49" s="12" t="s">
        <v>28</v>
      </c>
      <c r="H49" s="9"/>
    </row>
    <row r="50" customFormat="false" ht="15" hidden="false" customHeight="false" outlineLevel="0" collapsed="false">
      <c r="A50" s="9" t="s">
        <v>124</v>
      </c>
      <c r="B50" s="10" t="n">
        <v>1</v>
      </c>
      <c r="C50" s="11" t="n">
        <v>750</v>
      </c>
      <c r="D50" s="10" t="s">
        <v>2</v>
      </c>
      <c r="E50" s="9" t="s">
        <v>114</v>
      </c>
      <c r="F50" s="9" t="s">
        <v>115</v>
      </c>
      <c r="G50" s="12" t="s">
        <v>28</v>
      </c>
      <c r="H50" s="9"/>
    </row>
    <row r="51" customFormat="false" ht="15" hidden="false" customHeight="false" outlineLevel="0" collapsed="false">
      <c r="A51" s="9" t="s">
        <v>125</v>
      </c>
      <c r="B51" s="10" t="n">
        <v>1</v>
      </c>
      <c r="C51" s="11" t="n">
        <v>750</v>
      </c>
      <c r="D51" s="10" t="s">
        <v>2</v>
      </c>
      <c r="E51" s="9" t="s">
        <v>126</v>
      </c>
      <c r="F51" s="9" t="s">
        <v>105</v>
      </c>
      <c r="G51" s="12" t="s">
        <v>28</v>
      </c>
      <c r="H51" s="9"/>
    </row>
    <row r="52" customFormat="false" ht="15" hidden="false" customHeight="false" outlineLevel="0" collapsed="false">
      <c r="A52" s="9" t="s">
        <v>127</v>
      </c>
      <c r="B52" s="10" t="n">
        <v>1</v>
      </c>
      <c r="C52" s="11" t="n">
        <v>750</v>
      </c>
      <c r="D52" s="10" t="s">
        <v>2</v>
      </c>
      <c r="E52" s="9" t="s">
        <v>128</v>
      </c>
      <c r="F52" s="9" t="s">
        <v>117</v>
      </c>
      <c r="G52" s="12" t="s">
        <v>28</v>
      </c>
      <c r="H52" s="9"/>
    </row>
    <row r="53" customFormat="false" ht="15" hidden="false" customHeight="false" outlineLevel="0" collapsed="false">
      <c r="A53" s="9" t="s">
        <v>129</v>
      </c>
      <c r="B53" s="10" t="n">
        <v>1</v>
      </c>
      <c r="C53" s="11" t="n">
        <v>750</v>
      </c>
      <c r="D53" s="10" t="s">
        <v>2</v>
      </c>
      <c r="E53" s="9" t="s">
        <v>128</v>
      </c>
      <c r="F53" s="9" t="s">
        <v>117</v>
      </c>
      <c r="G53" s="12" t="s">
        <v>28</v>
      </c>
      <c r="H53" s="9"/>
    </row>
    <row r="54" customFormat="false" ht="15" hidden="false" customHeight="false" outlineLevel="0" collapsed="false">
      <c r="A54" s="9" t="s">
        <v>130</v>
      </c>
      <c r="B54" s="10" t="n">
        <v>1</v>
      </c>
      <c r="C54" s="11" t="n">
        <v>750</v>
      </c>
      <c r="D54" s="10" t="s">
        <v>2</v>
      </c>
      <c r="E54" s="9" t="s">
        <v>131</v>
      </c>
      <c r="F54" s="9" t="s">
        <v>115</v>
      </c>
      <c r="G54" s="12" t="s">
        <v>28</v>
      </c>
      <c r="H54" s="9"/>
    </row>
    <row r="55" customFormat="false" ht="15" hidden="false" customHeight="false" outlineLevel="0" collapsed="false">
      <c r="A55" s="9" t="s">
        <v>132</v>
      </c>
      <c r="B55" s="10" t="n">
        <v>1</v>
      </c>
      <c r="C55" s="11" t="n">
        <v>750</v>
      </c>
      <c r="D55" s="10" t="s">
        <v>2</v>
      </c>
      <c r="E55" s="9" t="s">
        <v>131</v>
      </c>
      <c r="F55" s="9" t="s">
        <v>115</v>
      </c>
      <c r="G55" s="12" t="s">
        <v>28</v>
      </c>
      <c r="H55" s="9"/>
    </row>
    <row r="56" customFormat="false" ht="15" hidden="false" customHeight="false" outlineLevel="0" collapsed="false">
      <c r="A56" s="9" t="s">
        <v>133</v>
      </c>
      <c r="B56" s="10" t="n">
        <v>1</v>
      </c>
      <c r="C56" s="11" t="n">
        <v>750</v>
      </c>
      <c r="D56" s="10" t="s">
        <v>2</v>
      </c>
      <c r="E56" s="9" t="s">
        <v>128</v>
      </c>
      <c r="F56" s="9" t="s">
        <v>105</v>
      </c>
      <c r="G56" s="12" t="s">
        <v>28</v>
      </c>
      <c r="H56" s="9"/>
    </row>
    <row r="57" customFormat="false" ht="15" hidden="false" customHeight="false" outlineLevel="0" collapsed="false">
      <c r="A57" s="9" t="s">
        <v>134</v>
      </c>
      <c r="B57" s="10" t="n">
        <v>1</v>
      </c>
      <c r="C57" s="11" t="n">
        <v>750</v>
      </c>
      <c r="D57" s="10" t="s">
        <v>2</v>
      </c>
      <c r="E57" s="9" t="s">
        <v>135</v>
      </c>
      <c r="F57" s="9" t="s">
        <v>105</v>
      </c>
      <c r="G57" s="12" t="s">
        <v>28</v>
      </c>
      <c r="H57" s="9"/>
    </row>
    <row r="58" customFormat="false" ht="15" hidden="false" customHeight="false" outlineLevel="0" collapsed="false">
      <c r="A58" s="9" t="s">
        <v>136</v>
      </c>
      <c r="B58" s="10" t="n">
        <v>1</v>
      </c>
      <c r="C58" s="11" t="n">
        <v>750</v>
      </c>
      <c r="D58" s="10" t="s">
        <v>2</v>
      </c>
      <c r="E58" s="9" t="s">
        <v>135</v>
      </c>
      <c r="F58" s="9" t="s">
        <v>115</v>
      </c>
      <c r="G58" s="12" t="s">
        <v>28</v>
      </c>
      <c r="H58" s="9"/>
    </row>
    <row r="59" customFormat="false" ht="15" hidden="false" customHeight="false" outlineLevel="0" collapsed="false">
      <c r="A59" s="9" t="s">
        <v>137</v>
      </c>
      <c r="B59" s="10" t="n">
        <v>1</v>
      </c>
      <c r="C59" s="11" t="n">
        <v>750</v>
      </c>
      <c r="D59" s="10" t="s">
        <v>2</v>
      </c>
      <c r="E59" s="9" t="s">
        <v>39</v>
      </c>
      <c r="F59" s="9" t="s">
        <v>105</v>
      </c>
      <c r="G59" s="12" t="s">
        <v>28</v>
      </c>
      <c r="H59" s="9"/>
    </row>
    <row r="60" customFormat="false" ht="15" hidden="false" customHeight="false" outlineLevel="0" collapsed="false">
      <c r="A60" s="9" t="s">
        <v>113</v>
      </c>
      <c r="B60" s="10" t="n">
        <v>1</v>
      </c>
      <c r="C60" s="11" t="n">
        <v>750</v>
      </c>
      <c r="D60" s="10" t="s">
        <v>2</v>
      </c>
      <c r="E60" s="9" t="s">
        <v>114</v>
      </c>
      <c r="F60" s="9" t="s">
        <v>115</v>
      </c>
      <c r="G60" s="12" t="s">
        <v>28</v>
      </c>
      <c r="H60" s="9"/>
    </row>
    <row r="61" customFormat="false" ht="15" hidden="false" customHeight="false" outlineLevel="0" collapsed="false">
      <c r="A61" s="9" t="s">
        <v>138</v>
      </c>
      <c r="B61" s="10" t="n">
        <v>1</v>
      </c>
      <c r="C61" s="11" t="n">
        <v>750</v>
      </c>
      <c r="D61" s="10" t="s">
        <v>2</v>
      </c>
      <c r="E61" s="9" t="s">
        <v>139</v>
      </c>
      <c r="F61" s="9" t="s">
        <v>117</v>
      </c>
      <c r="G61" s="12" t="s">
        <v>28</v>
      </c>
      <c r="H61" s="9"/>
    </row>
    <row r="62" customFormat="false" ht="15" hidden="false" customHeight="false" outlineLevel="0" collapsed="false">
      <c r="A62" s="9" t="s">
        <v>140</v>
      </c>
      <c r="B62" s="10" t="n">
        <v>1</v>
      </c>
      <c r="C62" s="11" t="n">
        <v>750</v>
      </c>
      <c r="D62" s="10" t="s">
        <v>2</v>
      </c>
      <c r="E62" s="9" t="s">
        <v>141</v>
      </c>
      <c r="F62" s="9" t="s">
        <v>115</v>
      </c>
      <c r="G62" s="12" t="s">
        <v>28</v>
      </c>
      <c r="H62" s="9"/>
    </row>
    <row r="63" customFormat="false" ht="15" hidden="false" customHeight="false" outlineLevel="0" collapsed="false">
      <c r="A63" s="9" t="s">
        <v>142</v>
      </c>
      <c r="B63" s="10" t="n">
        <v>1</v>
      </c>
      <c r="C63" s="11" t="n">
        <v>750</v>
      </c>
      <c r="D63" s="10" t="s">
        <v>2</v>
      </c>
      <c r="E63" s="9" t="s">
        <v>143</v>
      </c>
      <c r="F63" s="9" t="s">
        <v>105</v>
      </c>
      <c r="G63" s="12" t="s">
        <v>28</v>
      </c>
      <c r="H63" s="9"/>
    </row>
    <row r="64" customFormat="false" ht="15" hidden="false" customHeight="false" outlineLevel="0" collapsed="false">
      <c r="A64" s="9" t="s">
        <v>129</v>
      </c>
      <c r="B64" s="10" t="n">
        <v>1</v>
      </c>
      <c r="C64" s="11" t="n">
        <v>750</v>
      </c>
      <c r="D64" s="10" t="s">
        <v>2</v>
      </c>
      <c r="E64" s="9" t="s">
        <v>39</v>
      </c>
      <c r="F64" s="9" t="s">
        <v>117</v>
      </c>
      <c r="G64" s="12" t="s">
        <v>28</v>
      </c>
      <c r="H64" s="9"/>
    </row>
    <row r="65" customFormat="false" ht="15" hidden="false" customHeight="false" outlineLevel="0" collapsed="false">
      <c r="A65" s="9" t="s">
        <v>144</v>
      </c>
      <c r="B65" s="10" t="n">
        <v>1</v>
      </c>
      <c r="C65" s="11" t="n">
        <v>750</v>
      </c>
      <c r="D65" s="10" t="s">
        <v>2</v>
      </c>
      <c r="E65" s="9" t="s">
        <v>135</v>
      </c>
      <c r="F65" s="9" t="s">
        <v>117</v>
      </c>
      <c r="G65" s="12" t="s">
        <v>28</v>
      </c>
      <c r="H65" s="9"/>
    </row>
    <row r="66" customFormat="false" ht="15" hidden="false" customHeight="false" outlineLevel="0" collapsed="false">
      <c r="A66" s="9" t="s">
        <v>145</v>
      </c>
      <c r="B66" s="10" t="n">
        <v>1</v>
      </c>
      <c r="C66" s="11" t="n">
        <v>750</v>
      </c>
      <c r="D66" s="10" t="s">
        <v>2</v>
      </c>
      <c r="E66" s="9" t="s">
        <v>139</v>
      </c>
      <c r="F66" s="9" t="s">
        <v>115</v>
      </c>
      <c r="G66" s="12" t="s">
        <v>28</v>
      </c>
      <c r="H66" s="9"/>
    </row>
    <row r="67" customFormat="false" ht="15" hidden="false" customHeight="false" outlineLevel="0" collapsed="false">
      <c r="A67" s="9" t="s">
        <v>146</v>
      </c>
      <c r="B67" s="10" t="n">
        <v>1</v>
      </c>
      <c r="C67" s="11" t="n">
        <v>795</v>
      </c>
      <c r="D67" s="10" t="s">
        <v>2</v>
      </c>
      <c r="E67" s="9" t="s">
        <v>143</v>
      </c>
      <c r="F67" s="9" t="s">
        <v>115</v>
      </c>
      <c r="G67" s="12" t="s">
        <v>28</v>
      </c>
      <c r="H67" s="9"/>
    </row>
    <row r="68" customFormat="false" ht="15" hidden="false" customHeight="false" outlineLevel="0" collapsed="false">
      <c r="A68" s="9" t="s">
        <v>147</v>
      </c>
      <c r="B68" s="10" t="n">
        <v>1</v>
      </c>
      <c r="C68" s="11" t="n">
        <v>800</v>
      </c>
      <c r="D68" s="10" t="s">
        <v>2</v>
      </c>
      <c r="E68" s="9" t="s">
        <v>52</v>
      </c>
      <c r="F68" s="9" t="s">
        <v>102</v>
      </c>
      <c r="G68" s="12" t="s">
        <v>28</v>
      </c>
      <c r="H68" s="9"/>
    </row>
    <row r="69" customFormat="false" ht="15" hidden="false" customHeight="false" outlineLevel="0" collapsed="false">
      <c r="A69" s="9" t="s">
        <v>148</v>
      </c>
      <c r="B69" s="10" t="n">
        <v>1</v>
      </c>
      <c r="C69" s="11" t="n">
        <v>800</v>
      </c>
      <c r="D69" s="10" t="s">
        <v>2</v>
      </c>
      <c r="E69" s="9" t="s">
        <v>126</v>
      </c>
      <c r="F69" s="9" t="s">
        <v>72</v>
      </c>
      <c r="G69" s="12" t="s">
        <v>28</v>
      </c>
      <c r="H69" s="9"/>
    </row>
    <row r="70" customFormat="false" ht="15" hidden="false" customHeight="false" outlineLevel="0" collapsed="false">
      <c r="A70" s="9" t="s">
        <v>149</v>
      </c>
      <c r="B70" s="10" t="n">
        <v>1</v>
      </c>
      <c r="C70" s="11" t="n">
        <v>825</v>
      </c>
      <c r="D70" s="10" t="s">
        <v>2</v>
      </c>
      <c r="E70" s="9" t="s">
        <v>150</v>
      </c>
      <c r="F70" s="9" t="s">
        <v>151</v>
      </c>
      <c r="G70" s="12" t="s">
        <v>28</v>
      </c>
      <c r="H70" s="9"/>
    </row>
    <row r="71" customFormat="false" ht="15" hidden="false" customHeight="false" outlineLevel="0" collapsed="false">
      <c r="A71" s="9" t="s">
        <v>152</v>
      </c>
      <c r="B71" s="10" t="n">
        <v>1</v>
      </c>
      <c r="C71" s="11" t="n">
        <v>850</v>
      </c>
      <c r="D71" s="10" t="s">
        <v>2</v>
      </c>
      <c r="E71" s="9" t="s">
        <v>153</v>
      </c>
      <c r="F71" s="9" t="s">
        <v>27</v>
      </c>
      <c r="G71" s="12" t="s">
        <v>28</v>
      </c>
      <c r="H71" s="9"/>
    </row>
    <row r="72" customFormat="false" ht="15" hidden="false" customHeight="false" outlineLevel="0" collapsed="false">
      <c r="A72" s="9" t="s">
        <v>154</v>
      </c>
      <c r="B72" s="10" t="n">
        <v>1</v>
      </c>
      <c r="C72" s="11" t="n">
        <v>925</v>
      </c>
      <c r="D72" s="10" t="s">
        <v>2</v>
      </c>
      <c r="E72" s="9" t="s">
        <v>37</v>
      </c>
      <c r="F72" s="9" t="s">
        <v>102</v>
      </c>
      <c r="G72" s="12" t="s">
        <v>28</v>
      </c>
      <c r="H72" s="9"/>
    </row>
    <row r="73" customFormat="false" ht="15" hidden="false" customHeight="false" outlineLevel="0" collapsed="false">
      <c r="A73" s="9" t="s">
        <v>155</v>
      </c>
      <c r="B73" s="10" t="n">
        <v>1</v>
      </c>
      <c r="C73" s="11" t="n">
        <v>1250</v>
      </c>
      <c r="D73" s="10" t="s">
        <v>2</v>
      </c>
      <c r="E73" s="9" t="s">
        <v>156</v>
      </c>
      <c r="F73" s="9" t="s">
        <v>27</v>
      </c>
      <c r="G73" s="12" t="s">
        <v>28</v>
      </c>
      <c r="H73" s="9"/>
    </row>
    <row r="74" customFormat="false" ht="15" hidden="false" customHeight="false" outlineLevel="0" collapsed="false">
      <c r="A74" s="9" t="s">
        <v>157</v>
      </c>
      <c r="B74" s="10" t="n">
        <v>1</v>
      </c>
      <c r="C74" s="11" t="n">
        <v>1300</v>
      </c>
      <c r="D74" s="10" t="s">
        <v>2</v>
      </c>
      <c r="E74" s="9" t="s">
        <v>98</v>
      </c>
      <c r="F74" s="9" t="s">
        <v>27</v>
      </c>
      <c r="G74" s="12" t="s">
        <v>28</v>
      </c>
      <c r="H74" s="9"/>
    </row>
    <row r="75" customFormat="false" ht="15" hidden="false" customHeight="false" outlineLevel="0" collapsed="false">
      <c r="A75" s="9" t="s">
        <v>158</v>
      </c>
      <c r="B75" s="10" t="n">
        <v>1</v>
      </c>
      <c r="C75" s="11" t="n">
        <v>1450</v>
      </c>
      <c r="D75" s="10" t="s">
        <v>2</v>
      </c>
      <c r="E75" s="9" t="s">
        <v>159</v>
      </c>
      <c r="F75" s="9" t="s">
        <v>27</v>
      </c>
      <c r="G75" s="12" t="s">
        <v>28</v>
      </c>
      <c r="H75" s="9"/>
    </row>
    <row r="76" customFormat="false" ht="15" hidden="false" customHeight="false" outlineLevel="0" collapsed="false">
      <c r="A76" s="9" t="s">
        <v>160</v>
      </c>
      <c r="B76" s="10" t="n">
        <v>2</v>
      </c>
      <c r="C76" s="11" t="n">
        <v>795</v>
      </c>
      <c r="D76" s="10" t="s">
        <v>2</v>
      </c>
      <c r="E76" s="9" t="s">
        <v>161</v>
      </c>
      <c r="F76" s="9" t="s">
        <v>27</v>
      </c>
      <c r="G76" s="12" t="s">
        <v>28</v>
      </c>
      <c r="H76" s="9"/>
    </row>
    <row r="77" customFormat="false" ht="15" hidden="false" customHeight="false" outlineLevel="0" collapsed="false">
      <c r="A77" s="9" t="s">
        <v>162</v>
      </c>
      <c r="B77" s="10" t="n">
        <v>2</v>
      </c>
      <c r="C77" s="11" t="n">
        <v>795</v>
      </c>
      <c r="D77" s="10" t="s">
        <v>2</v>
      </c>
      <c r="E77" s="9" t="s">
        <v>163</v>
      </c>
      <c r="F77" s="9" t="s">
        <v>99</v>
      </c>
      <c r="G77" s="12" t="s">
        <v>28</v>
      </c>
      <c r="H77" s="9"/>
    </row>
    <row r="78" customFormat="false" ht="15" hidden="false" customHeight="false" outlineLevel="0" collapsed="false">
      <c r="A78" s="9" t="s">
        <v>164</v>
      </c>
      <c r="B78" s="10" t="n">
        <v>2</v>
      </c>
      <c r="C78" s="11" t="n">
        <v>880</v>
      </c>
      <c r="D78" s="10" t="s">
        <v>2</v>
      </c>
      <c r="E78" s="9" t="s">
        <v>165</v>
      </c>
      <c r="F78" s="9" t="s">
        <v>166</v>
      </c>
      <c r="G78" s="12" t="s">
        <v>28</v>
      </c>
      <c r="H78" s="9"/>
    </row>
    <row r="79" customFormat="false" ht="15" hidden="false" customHeight="false" outlineLevel="0" collapsed="false">
      <c r="A79" s="9" t="s">
        <v>167</v>
      </c>
      <c r="B79" s="10" t="n">
        <v>2</v>
      </c>
      <c r="C79" s="11" t="n">
        <v>880</v>
      </c>
      <c r="D79" s="10" t="s">
        <v>2</v>
      </c>
      <c r="E79" s="9" t="s">
        <v>168</v>
      </c>
      <c r="F79" s="9" t="s">
        <v>27</v>
      </c>
      <c r="G79" s="12" t="s">
        <v>28</v>
      </c>
      <c r="H79" s="9"/>
    </row>
    <row r="80" customFormat="false" ht="15" hidden="false" customHeight="false" outlineLevel="0" collapsed="false">
      <c r="A80" s="9" t="s">
        <v>169</v>
      </c>
      <c r="B80" s="10" t="n">
        <v>2</v>
      </c>
      <c r="C80" s="11" t="n">
        <v>880</v>
      </c>
      <c r="D80" s="10" t="s">
        <v>2</v>
      </c>
      <c r="E80" s="9" t="s">
        <v>170</v>
      </c>
      <c r="F80" s="9" t="s">
        <v>27</v>
      </c>
      <c r="G80" s="12" t="s">
        <v>28</v>
      </c>
      <c r="H80" s="9"/>
    </row>
    <row r="81" customFormat="false" ht="15" hidden="false" customHeight="false" outlineLevel="0" collapsed="false">
      <c r="A81" s="9" t="s">
        <v>171</v>
      </c>
      <c r="B81" s="10" t="n">
        <v>2</v>
      </c>
      <c r="C81" s="11" t="n">
        <v>900</v>
      </c>
      <c r="D81" s="10" t="s">
        <v>2</v>
      </c>
      <c r="E81" s="9" t="s">
        <v>62</v>
      </c>
      <c r="F81" s="9" t="s">
        <v>27</v>
      </c>
      <c r="G81" s="12" t="s">
        <v>28</v>
      </c>
      <c r="H81" s="9"/>
    </row>
    <row r="82" customFormat="false" ht="15" hidden="false" customHeight="false" outlineLevel="0" collapsed="false">
      <c r="A82" s="9" t="s">
        <v>172</v>
      </c>
      <c r="B82" s="10" t="n">
        <v>2</v>
      </c>
      <c r="C82" s="11" t="n">
        <v>900</v>
      </c>
      <c r="D82" s="10" t="s">
        <v>2</v>
      </c>
      <c r="E82" s="9" t="s">
        <v>173</v>
      </c>
      <c r="F82" s="9" t="s">
        <v>117</v>
      </c>
      <c r="G82" s="12" t="s">
        <v>28</v>
      </c>
      <c r="H82" s="9"/>
    </row>
    <row r="83" customFormat="false" ht="15" hidden="false" customHeight="false" outlineLevel="0" collapsed="false">
      <c r="A83" s="9" t="s">
        <v>174</v>
      </c>
      <c r="B83" s="10" t="n">
        <v>2</v>
      </c>
      <c r="C83" s="11" t="n">
        <v>900</v>
      </c>
      <c r="D83" s="10" t="s">
        <v>2</v>
      </c>
      <c r="E83" s="9" t="s">
        <v>170</v>
      </c>
      <c r="F83" s="9" t="s">
        <v>27</v>
      </c>
      <c r="G83" s="12" t="s">
        <v>28</v>
      </c>
      <c r="H83" s="9"/>
    </row>
    <row r="84" customFormat="false" ht="15" hidden="false" customHeight="false" outlineLevel="0" collapsed="false">
      <c r="A84" s="9" t="s">
        <v>175</v>
      </c>
      <c r="B84" s="10" t="n">
        <v>2</v>
      </c>
      <c r="C84" s="11" t="n">
        <v>900</v>
      </c>
      <c r="D84" s="10" t="s">
        <v>2</v>
      </c>
      <c r="E84" s="9" t="s">
        <v>176</v>
      </c>
      <c r="F84" s="9" t="s">
        <v>27</v>
      </c>
      <c r="G84" s="12" t="s">
        <v>28</v>
      </c>
      <c r="H84" s="9"/>
    </row>
    <row r="85" customFormat="false" ht="15" hidden="false" customHeight="false" outlineLevel="0" collapsed="false">
      <c r="A85" s="9" t="s">
        <v>177</v>
      </c>
      <c r="B85" s="10" t="n">
        <v>2</v>
      </c>
      <c r="C85" s="11" t="n">
        <v>900</v>
      </c>
      <c r="D85" s="10" t="s">
        <v>2</v>
      </c>
      <c r="E85" s="9" t="s">
        <v>178</v>
      </c>
      <c r="F85" s="9" t="s">
        <v>27</v>
      </c>
      <c r="G85" s="12" t="s">
        <v>28</v>
      </c>
      <c r="H85" s="9"/>
    </row>
    <row r="86" customFormat="false" ht="15" hidden="false" customHeight="false" outlineLevel="0" collapsed="false">
      <c r="A86" s="9" t="s">
        <v>179</v>
      </c>
      <c r="B86" s="10" t="n">
        <v>2</v>
      </c>
      <c r="C86" s="11" t="n">
        <v>900</v>
      </c>
      <c r="D86" s="10" t="s">
        <v>2</v>
      </c>
      <c r="E86" s="9" t="s">
        <v>180</v>
      </c>
      <c r="F86" s="9" t="s">
        <v>115</v>
      </c>
      <c r="G86" s="12" t="s">
        <v>28</v>
      </c>
      <c r="H86" s="9"/>
    </row>
    <row r="87" customFormat="false" ht="15" hidden="false" customHeight="false" outlineLevel="0" collapsed="false">
      <c r="A87" s="9" t="s">
        <v>181</v>
      </c>
      <c r="B87" s="10" t="n">
        <v>2</v>
      </c>
      <c r="C87" s="11" t="n">
        <v>900</v>
      </c>
      <c r="D87" s="10" t="s">
        <v>2</v>
      </c>
      <c r="E87" s="9" t="s">
        <v>139</v>
      </c>
      <c r="F87" s="9" t="s">
        <v>27</v>
      </c>
      <c r="G87" s="12" t="s">
        <v>28</v>
      </c>
      <c r="H87" s="9"/>
    </row>
    <row r="88" customFormat="false" ht="15" hidden="false" customHeight="false" outlineLevel="0" collapsed="false">
      <c r="A88" s="9" t="s">
        <v>182</v>
      </c>
      <c r="B88" s="10" t="n">
        <v>2</v>
      </c>
      <c r="C88" s="11" t="n">
        <v>925</v>
      </c>
      <c r="D88" s="10" t="s">
        <v>2</v>
      </c>
      <c r="E88" s="9" t="s">
        <v>26</v>
      </c>
      <c r="F88" s="9" t="s">
        <v>183</v>
      </c>
      <c r="G88" s="12" t="s">
        <v>28</v>
      </c>
      <c r="H88" s="9"/>
    </row>
    <row r="89" customFormat="false" ht="15" hidden="false" customHeight="false" outlineLevel="0" collapsed="false">
      <c r="A89" s="9" t="s">
        <v>184</v>
      </c>
      <c r="B89" s="10" t="n">
        <v>2</v>
      </c>
      <c r="C89" s="11" t="n">
        <v>950</v>
      </c>
      <c r="D89" s="10" t="s">
        <v>2</v>
      </c>
      <c r="E89" s="9" t="s">
        <v>78</v>
      </c>
      <c r="F89" s="9" t="s">
        <v>183</v>
      </c>
      <c r="G89" s="12" t="s">
        <v>28</v>
      </c>
      <c r="H89" s="9"/>
    </row>
    <row r="90" customFormat="false" ht="15" hidden="false" customHeight="false" outlineLevel="0" collapsed="false">
      <c r="A90" s="9" t="s">
        <v>185</v>
      </c>
      <c r="B90" s="10" t="n">
        <v>2</v>
      </c>
      <c r="C90" s="11" t="n">
        <v>950</v>
      </c>
      <c r="D90" s="10" t="s">
        <v>2</v>
      </c>
      <c r="E90" s="9" t="s">
        <v>86</v>
      </c>
      <c r="F90" s="9" t="s">
        <v>27</v>
      </c>
      <c r="G90" s="12" t="s">
        <v>28</v>
      </c>
      <c r="H90" s="9"/>
    </row>
    <row r="91" customFormat="false" ht="15" hidden="false" customHeight="false" outlineLevel="0" collapsed="false">
      <c r="A91" s="9" t="s">
        <v>186</v>
      </c>
      <c r="B91" s="10" t="n">
        <v>2</v>
      </c>
      <c r="C91" s="11" t="n">
        <v>950</v>
      </c>
      <c r="D91" s="10" t="s">
        <v>2</v>
      </c>
      <c r="E91" s="9" t="s">
        <v>78</v>
      </c>
      <c r="F91" s="9" t="s">
        <v>105</v>
      </c>
      <c r="G91" s="12" t="s">
        <v>28</v>
      </c>
      <c r="H91" s="9"/>
    </row>
    <row r="92" customFormat="false" ht="15" hidden="false" customHeight="false" outlineLevel="0" collapsed="false">
      <c r="A92" s="9" t="s">
        <v>187</v>
      </c>
      <c r="B92" s="10" t="n">
        <v>2</v>
      </c>
      <c r="C92" s="11" t="n">
        <v>950</v>
      </c>
      <c r="D92" s="10" t="s">
        <v>2</v>
      </c>
      <c r="E92" s="9" t="s">
        <v>188</v>
      </c>
      <c r="F92" s="9" t="s">
        <v>189</v>
      </c>
      <c r="G92" s="12" t="s">
        <v>28</v>
      </c>
      <c r="H92" s="9"/>
    </row>
    <row r="93" customFormat="false" ht="15" hidden="false" customHeight="false" outlineLevel="0" collapsed="false">
      <c r="A93" s="9" t="s">
        <v>190</v>
      </c>
      <c r="B93" s="10" t="n">
        <v>2</v>
      </c>
      <c r="C93" s="11" t="n">
        <v>950</v>
      </c>
      <c r="D93" s="10" t="s">
        <v>2</v>
      </c>
      <c r="E93" s="9" t="s">
        <v>39</v>
      </c>
      <c r="F93" s="9" t="s">
        <v>105</v>
      </c>
      <c r="G93" s="12" t="s">
        <v>28</v>
      </c>
      <c r="H93" s="9"/>
    </row>
    <row r="94" customFormat="false" ht="15" hidden="false" customHeight="false" outlineLevel="0" collapsed="false">
      <c r="A94" s="9" t="s">
        <v>191</v>
      </c>
      <c r="B94" s="10" t="n">
        <v>2</v>
      </c>
      <c r="C94" s="11" t="n">
        <v>950</v>
      </c>
      <c r="D94" s="10" t="s">
        <v>2</v>
      </c>
      <c r="E94" s="9" t="s">
        <v>192</v>
      </c>
      <c r="F94" s="9" t="s">
        <v>27</v>
      </c>
      <c r="G94" s="12" t="s">
        <v>28</v>
      </c>
      <c r="H94" s="9"/>
    </row>
    <row r="95" customFormat="false" ht="15" hidden="false" customHeight="false" outlineLevel="0" collapsed="false">
      <c r="A95" s="9" t="s">
        <v>193</v>
      </c>
      <c r="B95" s="10" t="n">
        <v>2</v>
      </c>
      <c r="C95" s="11" t="n">
        <v>950</v>
      </c>
      <c r="D95" s="10" t="s">
        <v>2</v>
      </c>
      <c r="E95" s="9" t="s">
        <v>81</v>
      </c>
      <c r="F95" s="9" t="s">
        <v>35</v>
      </c>
      <c r="G95" s="12" t="s">
        <v>28</v>
      </c>
      <c r="H95" s="9"/>
    </row>
    <row r="96" customFormat="false" ht="15" hidden="false" customHeight="false" outlineLevel="0" collapsed="false">
      <c r="A96" s="9" t="s">
        <v>194</v>
      </c>
      <c r="B96" s="10" t="n">
        <v>2</v>
      </c>
      <c r="C96" s="11" t="n">
        <v>950</v>
      </c>
      <c r="D96" s="10" t="s">
        <v>2</v>
      </c>
      <c r="E96" s="9" t="s">
        <v>195</v>
      </c>
      <c r="F96" s="9" t="s">
        <v>27</v>
      </c>
      <c r="G96" s="12" t="s">
        <v>28</v>
      </c>
      <c r="H96" s="9"/>
    </row>
    <row r="97" customFormat="false" ht="15" hidden="false" customHeight="false" outlineLevel="0" collapsed="false">
      <c r="A97" s="9" t="s">
        <v>196</v>
      </c>
      <c r="B97" s="10" t="n">
        <v>2</v>
      </c>
      <c r="C97" s="11" t="n">
        <v>950</v>
      </c>
      <c r="D97" s="10" t="s">
        <v>2</v>
      </c>
      <c r="E97" s="9" t="s">
        <v>197</v>
      </c>
      <c r="F97" s="9" t="s">
        <v>117</v>
      </c>
      <c r="G97" s="12" t="s">
        <v>28</v>
      </c>
      <c r="H97" s="9"/>
    </row>
    <row r="98" customFormat="false" ht="15" hidden="false" customHeight="false" outlineLevel="0" collapsed="false">
      <c r="A98" s="9" t="s">
        <v>198</v>
      </c>
      <c r="B98" s="10" t="n">
        <v>2</v>
      </c>
      <c r="C98" s="11" t="n">
        <v>950</v>
      </c>
      <c r="D98" s="10" t="s">
        <v>2</v>
      </c>
      <c r="E98" s="9" t="s">
        <v>199</v>
      </c>
      <c r="F98" s="9" t="s">
        <v>35</v>
      </c>
      <c r="G98" s="12" t="s">
        <v>28</v>
      </c>
      <c r="H98" s="9"/>
    </row>
    <row r="99" customFormat="false" ht="15" hidden="false" customHeight="false" outlineLevel="0" collapsed="false">
      <c r="A99" s="9" t="s">
        <v>200</v>
      </c>
      <c r="B99" s="10" t="n">
        <v>2</v>
      </c>
      <c r="C99" s="11" t="n">
        <v>950</v>
      </c>
      <c r="D99" s="10" t="s">
        <v>2</v>
      </c>
      <c r="E99" s="9" t="s">
        <v>128</v>
      </c>
      <c r="F99" s="9" t="s">
        <v>117</v>
      </c>
      <c r="G99" s="12" t="s">
        <v>28</v>
      </c>
      <c r="H99" s="9"/>
    </row>
    <row r="100" customFormat="false" ht="15" hidden="false" customHeight="false" outlineLevel="0" collapsed="false">
      <c r="A100" s="9" t="s">
        <v>201</v>
      </c>
      <c r="B100" s="10" t="n">
        <v>2</v>
      </c>
      <c r="C100" s="11" t="n">
        <v>950</v>
      </c>
      <c r="D100" s="10" t="s">
        <v>2</v>
      </c>
      <c r="E100" s="9" t="s">
        <v>180</v>
      </c>
      <c r="F100" s="9" t="s">
        <v>115</v>
      </c>
      <c r="G100" s="12" t="s">
        <v>28</v>
      </c>
      <c r="H100" s="9"/>
    </row>
    <row r="101" customFormat="false" ht="15" hidden="false" customHeight="false" outlineLevel="0" collapsed="false">
      <c r="A101" s="9" t="s">
        <v>202</v>
      </c>
      <c r="B101" s="10" t="n">
        <v>2</v>
      </c>
      <c r="C101" s="11" t="n">
        <v>950</v>
      </c>
      <c r="D101" s="10" t="s">
        <v>2</v>
      </c>
      <c r="E101" s="9" t="s">
        <v>128</v>
      </c>
      <c r="F101" s="9" t="s">
        <v>105</v>
      </c>
      <c r="G101" s="12" t="s">
        <v>28</v>
      </c>
      <c r="H101" s="9"/>
    </row>
    <row r="102" customFormat="false" ht="15" hidden="false" customHeight="false" outlineLevel="0" collapsed="false">
      <c r="A102" s="9" t="s">
        <v>203</v>
      </c>
      <c r="B102" s="10" t="n">
        <v>2</v>
      </c>
      <c r="C102" s="11" t="n">
        <v>950</v>
      </c>
      <c r="D102" s="10" t="s">
        <v>2</v>
      </c>
      <c r="E102" s="9" t="s">
        <v>128</v>
      </c>
      <c r="F102" s="9" t="s">
        <v>35</v>
      </c>
      <c r="G102" s="12" t="s">
        <v>28</v>
      </c>
      <c r="H102" s="9"/>
    </row>
    <row r="103" customFormat="false" ht="15" hidden="false" customHeight="false" outlineLevel="0" collapsed="false">
      <c r="A103" s="9" t="s">
        <v>204</v>
      </c>
      <c r="B103" s="10" t="n">
        <v>2</v>
      </c>
      <c r="C103" s="11" t="n">
        <v>950</v>
      </c>
      <c r="D103" s="10" t="s">
        <v>2</v>
      </c>
      <c r="E103" s="9" t="s">
        <v>199</v>
      </c>
      <c r="F103" s="9" t="s">
        <v>105</v>
      </c>
      <c r="G103" s="12" t="s">
        <v>28</v>
      </c>
      <c r="H103" s="9"/>
    </row>
    <row r="104" customFormat="false" ht="15" hidden="false" customHeight="false" outlineLevel="0" collapsed="false">
      <c r="A104" s="9" t="s">
        <v>205</v>
      </c>
      <c r="B104" s="10" t="n">
        <v>2</v>
      </c>
      <c r="C104" s="11" t="n">
        <v>950</v>
      </c>
      <c r="D104" s="10" t="s">
        <v>2</v>
      </c>
      <c r="E104" s="9" t="s">
        <v>135</v>
      </c>
      <c r="F104" s="9" t="s">
        <v>115</v>
      </c>
      <c r="G104" s="12" t="s">
        <v>28</v>
      </c>
      <c r="H104" s="9"/>
    </row>
    <row r="105" customFormat="false" ht="15" hidden="false" customHeight="false" outlineLevel="0" collapsed="false">
      <c r="A105" s="9" t="s">
        <v>206</v>
      </c>
      <c r="B105" s="10" t="n">
        <v>2</v>
      </c>
      <c r="C105" s="11" t="n">
        <v>950</v>
      </c>
      <c r="D105" s="10" t="s">
        <v>2</v>
      </c>
      <c r="E105" s="9" t="s">
        <v>135</v>
      </c>
      <c r="F105" s="9" t="s">
        <v>117</v>
      </c>
      <c r="G105" s="12" t="s">
        <v>28</v>
      </c>
      <c r="H105" s="9"/>
    </row>
    <row r="106" customFormat="false" ht="15" hidden="false" customHeight="false" outlineLevel="0" collapsed="false">
      <c r="A106" s="9" t="s">
        <v>207</v>
      </c>
      <c r="B106" s="10" t="n">
        <v>2</v>
      </c>
      <c r="C106" s="11" t="n">
        <v>950</v>
      </c>
      <c r="D106" s="10" t="s">
        <v>2</v>
      </c>
      <c r="E106" s="9" t="s">
        <v>135</v>
      </c>
      <c r="F106" s="9" t="s">
        <v>63</v>
      </c>
      <c r="G106" s="12" t="s">
        <v>28</v>
      </c>
      <c r="H106" s="9"/>
    </row>
    <row r="107" customFormat="false" ht="15" hidden="false" customHeight="false" outlineLevel="0" collapsed="false">
      <c r="A107" s="9" t="s">
        <v>208</v>
      </c>
      <c r="B107" s="10" t="n">
        <v>2</v>
      </c>
      <c r="C107" s="11" t="n">
        <v>950</v>
      </c>
      <c r="D107" s="10" t="s">
        <v>2</v>
      </c>
      <c r="E107" s="9" t="s">
        <v>128</v>
      </c>
      <c r="F107" s="9" t="s">
        <v>117</v>
      </c>
      <c r="G107" s="12" t="s">
        <v>28</v>
      </c>
      <c r="H107" s="9"/>
    </row>
    <row r="108" customFormat="false" ht="15" hidden="false" customHeight="false" outlineLevel="0" collapsed="false">
      <c r="A108" s="9" t="s">
        <v>209</v>
      </c>
      <c r="B108" s="10" t="n">
        <v>2</v>
      </c>
      <c r="C108" s="11" t="n">
        <v>950</v>
      </c>
      <c r="D108" s="10" t="s">
        <v>2</v>
      </c>
      <c r="E108" s="9" t="s">
        <v>128</v>
      </c>
      <c r="F108" s="9" t="s">
        <v>115</v>
      </c>
      <c r="G108" s="12" t="s">
        <v>28</v>
      </c>
      <c r="H108" s="9"/>
    </row>
    <row r="109" customFormat="false" ht="15" hidden="false" customHeight="false" outlineLevel="0" collapsed="false">
      <c r="A109" s="9" t="s">
        <v>210</v>
      </c>
      <c r="B109" s="10" t="n">
        <v>2</v>
      </c>
      <c r="C109" s="11" t="n">
        <v>950</v>
      </c>
      <c r="D109" s="10" t="s">
        <v>2</v>
      </c>
      <c r="E109" s="9" t="s">
        <v>139</v>
      </c>
      <c r="F109" s="9" t="s">
        <v>117</v>
      </c>
      <c r="G109" s="12" t="s">
        <v>28</v>
      </c>
      <c r="H109" s="9"/>
    </row>
    <row r="110" customFormat="false" ht="15" hidden="false" customHeight="false" outlineLevel="0" collapsed="false">
      <c r="A110" s="9" t="s">
        <v>211</v>
      </c>
      <c r="B110" s="10" t="n">
        <v>2</v>
      </c>
      <c r="C110" s="11" t="n">
        <v>950</v>
      </c>
      <c r="D110" s="10" t="s">
        <v>2</v>
      </c>
      <c r="E110" s="9" t="s">
        <v>139</v>
      </c>
      <c r="F110" s="9" t="s">
        <v>105</v>
      </c>
      <c r="G110" s="12" t="s">
        <v>28</v>
      </c>
      <c r="H110" s="9"/>
    </row>
    <row r="111" customFormat="false" ht="15" hidden="false" customHeight="false" outlineLevel="0" collapsed="false">
      <c r="A111" s="9" t="s">
        <v>212</v>
      </c>
      <c r="B111" s="10" t="n">
        <v>2</v>
      </c>
      <c r="C111" s="11" t="n">
        <v>950</v>
      </c>
      <c r="D111" s="10" t="s">
        <v>2</v>
      </c>
      <c r="E111" s="9" t="s">
        <v>135</v>
      </c>
      <c r="F111" s="9" t="s">
        <v>105</v>
      </c>
      <c r="G111" s="12" t="s">
        <v>28</v>
      </c>
      <c r="H111" s="9"/>
    </row>
    <row r="112" customFormat="false" ht="15" hidden="false" customHeight="false" outlineLevel="0" collapsed="false">
      <c r="A112" s="9" t="s">
        <v>213</v>
      </c>
      <c r="B112" s="10" t="n">
        <v>2</v>
      </c>
      <c r="C112" s="11" t="n">
        <v>950</v>
      </c>
      <c r="D112" s="10" t="s">
        <v>2</v>
      </c>
      <c r="E112" s="9" t="s">
        <v>139</v>
      </c>
      <c r="F112" s="9" t="s">
        <v>105</v>
      </c>
      <c r="G112" s="12" t="s">
        <v>28</v>
      </c>
      <c r="H112" s="9"/>
    </row>
    <row r="113" customFormat="false" ht="15" hidden="false" customHeight="false" outlineLevel="0" collapsed="false">
      <c r="A113" s="9" t="s">
        <v>214</v>
      </c>
      <c r="B113" s="10" t="n">
        <v>2</v>
      </c>
      <c r="C113" s="11" t="n">
        <v>950</v>
      </c>
      <c r="D113" s="10" t="s">
        <v>2</v>
      </c>
      <c r="E113" s="9" t="s">
        <v>180</v>
      </c>
      <c r="F113" s="9" t="s">
        <v>105</v>
      </c>
      <c r="G113" s="12" t="s">
        <v>28</v>
      </c>
      <c r="H113" s="9"/>
    </row>
    <row r="114" customFormat="false" ht="15" hidden="false" customHeight="false" outlineLevel="0" collapsed="false">
      <c r="A114" s="9" t="s">
        <v>215</v>
      </c>
      <c r="B114" s="10" t="n">
        <v>2</v>
      </c>
      <c r="C114" s="11" t="n">
        <v>950</v>
      </c>
      <c r="D114" s="10" t="s">
        <v>2</v>
      </c>
      <c r="E114" s="9" t="s">
        <v>131</v>
      </c>
      <c r="F114" s="9" t="s">
        <v>115</v>
      </c>
      <c r="G114" s="12" t="s">
        <v>28</v>
      </c>
      <c r="H114" s="9"/>
    </row>
    <row r="115" customFormat="false" ht="15" hidden="false" customHeight="false" outlineLevel="0" collapsed="false">
      <c r="A115" s="9" t="s">
        <v>216</v>
      </c>
      <c r="B115" s="10" t="n">
        <v>2</v>
      </c>
      <c r="C115" s="11" t="n">
        <v>950</v>
      </c>
      <c r="D115" s="10" t="s">
        <v>2</v>
      </c>
      <c r="E115" s="9" t="s">
        <v>135</v>
      </c>
      <c r="F115" s="9" t="s">
        <v>117</v>
      </c>
      <c r="G115" s="12" t="s">
        <v>28</v>
      </c>
      <c r="H115" s="9"/>
    </row>
    <row r="116" customFormat="false" ht="15" hidden="false" customHeight="false" outlineLevel="0" collapsed="false">
      <c r="A116" s="9" t="s">
        <v>217</v>
      </c>
      <c r="B116" s="10" t="n">
        <v>2</v>
      </c>
      <c r="C116" s="11" t="n">
        <v>950</v>
      </c>
      <c r="D116" s="10" t="s">
        <v>2</v>
      </c>
      <c r="E116" s="9" t="s">
        <v>180</v>
      </c>
      <c r="F116" s="9" t="s">
        <v>117</v>
      </c>
      <c r="G116" s="12" t="s">
        <v>28</v>
      </c>
      <c r="H116" s="9"/>
    </row>
    <row r="117" customFormat="false" ht="15" hidden="false" customHeight="false" outlineLevel="0" collapsed="false">
      <c r="A117" s="9" t="s">
        <v>218</v>
      </c>
      <c r="B117" s="10" t="n">
        <v>2</v>
      </c>
      <c r="C117" s="11" t="n">
        <v>950</v>
      </c>
      <c r="D117" s="10" t="s">
        <v>2</v>
      </c>
      <c r="E117" s="9" t="s">
        <v>139</v>
      </c>
      <c r="F117" s="9" t="s">
        <v>117</v>
      </c>
      <c r="G117" s="12" t="s">
        <v>28</v>
      </c>
      <c r="H117" s="9"/>
    </row>
    <row r="118" customFormat="false" ht="15" hidden="false" customHeight="false" outlineLevel="0" collapsed="false">
      <c r="A118" s="9" t="s">
        <v>219</v>
      </c>
      <c r="B118" s="10" t="n">
        <v>2</v>
      </c>
      <c r="C118" s="11" t="n">
        <v>950</v>
      </c>
      <c r="D118" s="10" t="s">
        <v>2</v>
      </c>
      <c r="E118" s="9" t="s">
        <v>139</v>
      </c>
      <c r="F118" s="9" t="s">
        <v>183</v>
      </c>
      <c r="G118" s="12" t="s">
        <v>28</v>
      </c>
      <c r="H118" s="9"/>
    </row>
    <row r="119" customFormat="false" ht="15" hidden="false" customHeight="false" outlineLevel="0" collapsed="false">
      <c r="A119" s="9" t="s">
        <v>203</v>
      </c>
      <c r="B119" s="10" t="n">
        <v>2</v>
      </c>
      <c r="C119" s="11" t="n">
        <v>950</v>
      </c>
      <c r="D119" s="10" t="s">
        <v>2</v>
      </c>
      <c r="E119" s="9" t="s">
        <v>180</v>
      </c>
      <c r="F119" s="9" t="s">
        <v>35</v>
      </c>
      <c r="G119" s="12" t="s">
        <v>28</v>
      </c>
      <c r="H119" s="9"/>
    </row>
    <row r="120" customFormat="false" ht="15" hidden="false" customHeight="false" outlineLevel="0" collapsed="false">
      <c r="A120" s="9" t="s">
        <v>220</v>
      </c>
      <c r="B120" s="10" t="n">
        <v>2</v>
      </c>
      <c r="C120" s="11" t="n">
        <v>950</v>
      </c>
      <c r="D120" s="10" t="s">
        <v>2</v>
      </c>
      <c r="E120" s="9" t="s">
        <v>131</v>
      </c>
      <c r="F120" s="9" t="s">
        <v>63</v>
      </c>
      <c r="G120" s="12" t="s">
        <v>28</v>
      </c>
      <c r="H120" s="9"/>
    </row>
    <row r="121" customFormat="false" ht="15" hidden="false" customHeight="false" outlineLevel="0" collapsed="false">
      <c r="A121" s="9" t="s">
        <v>221</v>
      </c>
      <c r="B121" s="10" t="n">
        <v>2</v>
      </c>
      <c r="C121" s="11" t="n">
        <v>950</v>
      </c>
      <c r="D121" s="10" t="s">
        <v>2</v>
      </c>
      <c r="E121" s="9" t="s">
        <v>135</v>
      </c>
      <c r="F121" s="9" t="s">
        <v>117</v>
      </c>
      <c r="G121" s="12" t="s">
        <v>28</v>
      </c>
      <c r="H121" s="9"/>
    </row>
    <row r="122" customFormat="false" ht="15" hidden="false" customHeight="false" outlineLevel="0" collapsed="false">
      <c r="A122" s="9" t="s">
        <v>222</v>
      </c>
      <c r="B122" s="10" t="n">
        <v>2</v>
      </c>
      <c r="C122" s="11" t="n">
        <v>950</v>
      </c>
      <c r="D122" s="10" t="s">
        <v>2</v>
      </c>
      <c r="E122" s="9" t="s">
        <v>139</v>
      </c>
      <c r="F122" s="9" t="s">
        <v>35</v>
      </c>
      <c r="G122" s="12" t="s">
        <v>28</v>
      </c>
      <c r="H122" s="9"/>
    </row>
    <row r="123" customFormat="false" ht="15" hidden="false" customHeight="false" outlineLevel="0" collapsed="false">
      <c r="A123" s="9" t="s">
        <v>223</v>
      </c>
      <c r="B123" s="10" t="n">
        <v>2</v>
      </c>
      <c r="C123" s="11" t="n">
        <v>975</v>
      </c>
      <c r="D123" s="10" t="s">
        <v>2</v>
      </c>
      <c r="E123" s="9" t="s">
        <v>224</v>
      </c>
      <c r="F123" s="9" t="s">
        <v>117</v>
      </c>
      <c r="G123" s="12" t="s">
        <v>28</v>
      </c>
      <c r="H123" s="9"/>
    </row>
    <row r="124" customFormat="false" ht="15" hidden="false" customHeight="false" outlineLevel="0" collapsed="false">
      <c r="A124" s="9" t="s">
        <v>225</v>
      </c>
      <c r="B124" s="10" t="n">
        <v>2</v>
      </c>
      <c r="C124" s="11" t="n">
        <v>975</v>
      </c>
      <c r="D124" s="10" t="s">
        <v>2</v>
      </c>
      <c r="E124" s="9" t="s">
        <v>226</v>
      </c>
      <c r="F124" s="9" t="s">
        <v>117</v>
      </c>
      <c r="G124" s="12" t="s">
        <v>28</v>
      </c>
      <c r="H124" s="9"/>
    </row>
    <row r="125" customFormat="false" ht="15" hidden="false" customHeight="false" outlineLevel="0" collapsed="false">
      <c r="A125" s="9" t="s">
        <v>227</v>
      </c>
      <c r="B125" s="10" t="n">
        <v>2</v>
      </c>
      <c r="C125" s="11" t="n">
        <v>975</v>
      </c>
      <c r="D125" s="10" t="s">
        <v>2</v>
      </c>
      <c r="E125" s="9" t="s">
        <v>228</v>
      </c>
      <c r="F125" s="9" t="s">
        <v>183</v>
      </c>
      <c r="G125" s="12" t="s">
        <v>28</v>
      </c>
      <c r="H125" s="9"/>
    </row>
    <row r="126" customFormat="false" ht="15" hidden="false" customHeight="false" outlineLevel="0" collapsed="false">
      <c r="A126" s="9" t="s">
        <v>229</v>
      </c>
      <c r="B126" s="10" t="n">
        <v>2</v>
      </c>
      <c r="C126" s="11" t="n">
        <v>980</v>
      </c>
      <c r="D126" s="10" t="s">
        <v>2</v>
      </c>
      <c r="E126" s="9" t="s">
        <v>230</v>
      </c>
      <c r="F126" s="9" t="s">
        <v>27</v>
      </c>
      <c r="G126" s="12" t="s">
        <v>28</v>
      </c>
      <c r="H126" s="9"/>
    </row>
    <row r="127" customFormat="false" ht="15" hidden="false" customHeight="false" outlineLevel="0" collapsed="false">
      <c r="A127" s="9" t="s">
        <v>231</v>
      </c>
      <c r="B127" s="10" t="n">
        <v>2</v>
      </c>
      <c r="C127" s="11" t="n">
        <v>995</v>
      </c>
      <c r="D127" s="10" t="s">
        <v>2</v>
      </c>
      <c r="E127" s="9" t="s">
        <v>232</v>
      </c>
      <c r="F127" s="9" t="s">
        <v>27</v>
      </c>
      <c r="G127" s="12" t="s">
        <v>28</v>
      </c>
      <c r="H127" s="9"/>
    </row>
    <row r="128" customFormat="false" ht="15" hidden="false" customHeight="false" outlineLevel="0" collapsed="false">
      <c r="A128" s="9" t="s">
        <v>233</v>
      </c>
      <c r="B128" s="10" t="n">
        <v>2</v>
      </c>
      <c r="C128" s="11" t="n">
        <v>995</v>
      </c>
      <c r="D128" s="10" t="s">
        <v>2</v>
      </c>
      <c r="E128" s="9" t="s">
        <v>165</v>
      </c>
      <c r="F128" s="9" t="s">
        <v>27</v>
      </c>
      <c r="G128" s="12" t="s">
        <v>28</v>
      </c>
      <c r="H128" s="9"/>
    </row>
    <row r="129" customFormat="false" ht="15" hidden="false" customHeight="false" outlineLevel="0" collapsed="false">
      <c r="A129" s="9" t="s">
        <v>234</v>
      </c>
      <c r="B129" s="10" t="n">
        <v>2</v>
      </c>
      <c r="C129" s="11" t="n">
        <v>1000</v>
      </c>
      <c r="D129" s="10" t="s">
        <v>2</v>
      </c>
      <c r="E129" s="9" t="s">
        <v>150</v>
      </c>
      <c r="F129" s="9" t="s">
        <v>120</v>
      </c>
      <c r="G129" s="12" t="s">
        <v>28</v>
      </c>
      <c r="H129" s="9"/>
    </row>
    <row r="130" customFormat="false" ht="15" hidden="false" customHeight="false" outlineLevel="0" collapsed="false">
      <c r="A130" s="9" t="s">
        <v>235</v>
      </c>
      <c r="B130" s="10" t="n">
        <v>2</v>
      </c>
      <c r="C130" s="11" t="n">
        <v>1000</v>
      </c>
      <c r="D130" s="10" t="s">
        <v>2</v>
      </c>
      <c r="E130" s="9" t="s">
        <v>114</v>
      </c>
      <c r="F130" s="9" t="s">
        <v>27</v>
      </c>
      <c r="G130" s="12" t="s">
        <v>28</v>
      </c>
      <c r="H130" s="9"/>
    </row>
    <row r="131" customFormat="false" ht="15" hidden="false" customHeight="false" outlineLevel="0" collapsed="false">
      <c r="A131" s="9" t="s">
        <v>236</v>
      </c>
      <c r="B131" s="10" t="n">
        <v>2</v>
      </c>
      <c r="C131" s="11" t="n">
        <v>1000</v>
      </c>
      <c r="D131" s="10" t="s">
        <v>2</v>
      </c>
      <c r="E131" s="9" t="s">
        <v>237</v>
      </c>
      <c r="F131" s="9" t="s">
        <v>27</v>
      </c>
      <c r="G131" s="12" t="s">
        <v>28</v>
      </c>
      <c r="H131" s="9"/>
    </row>
    <row r="132" customFormat="false" ht="15" hidden="false" customHeight="false" outlineLevel="0" collapsed="false">
      <c r="A132" s="9" t="s">
        <v>238</v>
      </c>
      <c r="B132" s="10" t="n">
        <v>2</v>
      </c>
      <c r="C132" s="11" t="n">
        <v>1050</v>
      </c>
      <c r="D132" s="10" t="s">
        <v>2</v>
      </c>
      <c r="E132" s="9" t="s">
        <v>30</v>
      </c>
      <c r="F132" s="9" t="s">
        <v>115</v>
      </c>
      <c r="G132" s="12" t="s">
        <v>28</v>
      </c>
      <c r="H132" s="9"/>
    </row>
    <row r="133" customFormat="false" ht="15" hidden="false" customHeight="false" outlineLevel="0" collapsed="false">
      <c r="A133" s="9" t="s">
        <v>239</v>
      </c>
      <c r="B133" s="10" t="n">
        <v>2</v>
      </c>
      <c r="C133" s="11" t="n">
        <v>1050</v>
      </c>
      <c r="D133" s="10" t="s">
        <v>2</v>
      </c>
      <c r="E133" s="9" t="s">
        <v>240</v>
      </c>
      <c r="F133" s="9" t="s">
        <v>99</v>
      </c>
      <c r="G133" s="12" t="s">
        <v>28</v>
      </c>
      <c r="H133" s="9"/>
    </row>
    <row r="134" customFormat="false" ht="15" hidden="false" customHeight="false" outlineLevel="0" collapsed="false">
      <c r="A134" s="9" t="s">
        <v>241</v>
      </c>
      <c r="B134" s="10" t="n">
        <v>2</v>
      </c>
      <c r="C134" s="11" t="n">
        <v>1095</v>
      </c>
      <c r="D134" s="10" t="s">
        <v>2</v>
      </c>
      <c r="E134" s="9" t="s">
        <v>242</v>
      </c>
      <c r="F134" s="9" t="s">
        <v>27</v>
      </c>
      <c r="G134" s="12" t="s">
        <v>28</v>
      </c>
      <c r="H134" s="9"/>
    </row>
    <row r="135" customFormat="false" ht="15" hidden="false" customHeight="false" outlineLevel="0" collapsed="false">
      <c r="A135" s="9" t="s">
        <v>243</v>
      </c>
      <c r="B135" s="10" t="n">
        <v>2</v>
      </c>
      <c r="C135" s="11" t="n">
        <v>1095</v>
      </c>
      <c r="D135" s="10" t="s">
        <v>2</v>
      </c>
      <c r="E135" s="9" t="s">
        <v>52</v>
      </c>
      <c r="F135" s="9" t="s">
        <v>27</v>
      </c>
      <c r="G135" s="12" t="s">
        <v>28</v>
      </c>
      <c r="H135" s="9"/>
    </row>
    <row r="136" customFormat="false" ht="15" hidden="false" customHeight="false" outlineLevel="0" collapsed="false">
      <c r="A136" s="9" t="s">
        <v>244</v>
      </c>
      <c r="B136" s="10" t="n">
        <v>2</v>
      </c>
      <c r="C136" s="11" t="n">
        <v>1100</v>
      </c>
      <c r="D136" s="10" t="s">
        <v>2</v>
      </c>
      <c r="E136" s="9" t="s">
        <v>245</v>
      </c>
      <c r="F136" s="9" t="s">
        <v>99</v>
      </c>
      <c r="G136" s="12" t="s">
        <v>28</v>
      </c>
      <c r="H136" s="9"/>
    </row>
    <row r="137" customFormat="false" ht="15" hidden="false" customHeight="false" outlineLevel="0" collapsed="false">
      <c r="A137" s="9" t="s">
        <v>246</v>
      </c>
      <c r="B137" s="10" t="n">
        <v>2</v>
      </c>
      <c r="C137" s="11" t="n">
        <v>1100</v>
      </c>
      <c r="D137" s="10" t="s">
        <v>2</v>
      </c>
      <c r="E137" s="9" t="s">
        <v>247</v>
      </c>
      <c r="F137" s="9" t="s">
        <v>27</v>
      </c>
      <c r="G137" s="12" t="s">
        <v>28</v>
      </c>
      <c r="H137" s="9"/>
    </row>
    <row r="138" customFormat="false" ht="15" hidden="false" customHeight="false" outlineLevel="0" collapsed="false">
      <c r="A138" s="9" t="s">
        <v>248</v>
      </c>
      <c r="B138" s="10" t="n">
        <v>2</v>
      </c>
      <c r="C138" s="11" t="n">
        <v>1100</v>
      </c>
      <c r="D138" s="10" t="s">
        <v>2</v>
      </c>
      <c r="E138" s="9" t="s">
        <v>39</v>
      </c>
      <c r="F138" s="9" t="s">
        <v>27</v>
      </c>
      <c r="G138" s="12" t="s">
        <v>28</v>
      </c>
      <c r="H138" s="9"/>
    </row>
    <row r="139" customFormat="false" ht="15" hidden="false" customHeight="false" outlineLevel="0" collapsed="false">
      <c r="A139" s="9" t="s">
        <v>249</v>
      </c>
      <c r="B139" s="10" t="n">
        <v>2</v>
      </c>
      <c r="C139" s="11" t="n">
        <v>1100</v>
      </c>
      <c r="D139" s="10" t="s">
        <v>2</v>
      </c>
      <c r="E139" s="9" t="s">
        <v>58</v>
      </c>
      <c r="F139" s="9" t="s">
        <v>27</v>
      </c>
      <c r="G139" s="12" t="s">
        <v>28</v>
      </c>
      <c r="H139" s="9"/>
    </row>
    <row r="140" customFormat="false" ht="15" hidden="false" customHeight="false" outlineLevel="0" collapsed="false">
      <c r="A140" s="9" t="s">
        <v>250</v>
      </c>
      <c r="B140" s="10" t="n">
        <v>2</v>
      </c>
      <c r="C140" s="11" t="n">
        <v>1100</v>
      </c>
      <c r="D140" s="10" t="s">
        <v>2</v>
      </c>
      <c r="E140" s="9" t="s">
        <v>141</v>
      </c>
      <c r="F140" s="9" t="s">
        <v>117</v>
      </c>
      <c r="G140" s="12" t="s">
        <v>28</v>
      </c>
      <c r="H140" s="9"/>
    </row>
    <row r="141" customFormat="false" ht="15" hidden="false" customHeight="false" outlineLevel="0" collapsed="false">
      <c r="A141" s="9" t="s">
        <v>251</v>
      </c>
      <c r="B141" s="10" t="n">
        <v>2</v>
      </c>
      <c r="C141" s="11" t="n">
        <v>1100</v>
      </c>
      <c r="D141" s="10" t="s">
        <v>2</v>
      </c>
      <c r="E141" s="9" t="s">
        <v>252</v>
      </c>
      <c r="F141" s="9" t="s">
        <v>27</v>
      </c>
      <c r="G141" s="12" t="s">
        <v>28</v>
      </c>
      <c r="H141" s="9"/>
    </row>
    <row r="142" customFormat="false" ht="15" hidden="false" customHeight="false" outlineLevel="0" collapsed="false">
      <c r="A142" s="9" t="s">
        <v>253</v>
      </c>
      <c r="B142" s="10" t="n">
        <v>2</v>
      </c>
      <c r="C142" s="11" t="n">
        <v>1100</v>
      </c>
      <c r="D142" s="10" t="s">
        <v>2</v>
      </c>
      <c r="E142" s="9" t="s">
        <v>39</v>
      </c>
      <c r="F142" s="9" t="s">
        <v>27</v>
      </c>
      <c r="G142" s="12" t="s">
        <v>28</v>
      </c>
      <c r="H142" s="9"/>
    </row>
    <row r="143" customFormat="false" ht="15" hidden="false" customHeight="false" outlineLevel="0" collapsed="false">
      <c r="A143" s="9" t="s">
        <v>254</v>
      </c>
      <c r="B143" s="10" t="n">
        <v>2</v>
      </c>
      <c r="C143" s="11" t="n">
        <v>1100</v>
      </c>
      <c r="D143" s="10" t="s">
        <v>2</v>
      </c>
      <c r="E143" s="9" t="s">
        <v>230</v>
      </c>
      <c r="F143" s="9" t="s">
        <v>105</v>
      </c>
      <c r="G143" s="12" t="s">
        <v>28</v>
      </c>
      <c r="H143" s="9"/>
    </row>
    <row r="144" customFormat="false" ht="15" hidden="false" customHeight="false" outlineLevel="0" collapsed="false">
      <c r="A144" s="9" t="s">
        <v>255</v>
      </c>
      <c r="B144" s="10" t="n">
        <v>2</v>
      </c>
      <c r="C144" s="11" t="n">
        <v>1100</v>
      </c>
      <c r="D144" s="10" t="s">
        <v>2</v>
      </c>
      <c r="E144" s="9" t="s">
        <v>180</v>
      </c>
      <c r="F144" s="9" t="s">
        <v>105</v>
      </c>
      <c r="G144" s="12" t="s">
        <v>28</v>
      </c>
      <c r="H144" s="9"/>
    </row>
    <row r="145" customFormat="false" ht="15" hidden="false" customHeight="false" outlineLevel="0" collapsed="false">
      <c r="A145" s="9" t="s">
        <v>256</v>
      </c>
      <c r="B145" s="10" t="n">
        <v>2</v>
      </c>
      <c r="C145" s="11" t="n">
        <v>1100</v>
      </c>
      <c r="D145" s="10" t="s">
        <v>2</v>
      </c>
      <c r="E145" s="9" t="s">
        <v>128</v>
      </c>
      <c r="F145" s="9" t="s">
        <v>105</v>
      </c>
      <c r="G145" s="12" t="s">
        <v>28</v>
      </c>
      <c r="H145" s="9"/>
    </row>
    <row r="146" customFormat="false" ht="15" hidden="false" customHeight="false" outlineLevel="0" collapsed="false">
      <c r="A146" s="9" t="s">
        <v>257</v>
      </c>
      <c r="B146" s="10" t="n">
        <v>2</v>
      </c>
      <c r="C146" s="11" t="n">
        <v>1100</v>
      </c>
      <c r="D146" s="10" t="s">
        <v>2</v>
      </c>
      <c r="E146" s="9" t="s">
        <v>128</v>
      </c>
      <c r="F146" s="9" t="s">
        <v>117</v>
      </c>
      <c r="G146" s="12" t="s">
        <v>28</v>
      </c>
      <c r="H146" s="9"/>
    </row>
    <row r="147" customFormat="false" ht="15" hidden="false" customHeight="false" outlineLevel="0" collapsed="false">
      <c r="A147" s="9" t="s">
        <v>258</v>
      </c>
      <c r="B147" s="10" t="n">
        <v>2</v>
      </c>
      <c r="C147" s="11" t="n">
        <v>1100</v>
      </c>
      <c r="D147" s="10" t="s">
        <v>2</v>
      </c>
      <c r="E147" s="9" t="s">
        <v>139</v>
      </c>
      <c r="F147" s="9" t="s">
        <v>27</v>
      </c>
      <c r="G147" s="12" t="s">
        <v>28</v>
      </c>
      <c r="H147" s="9"/>
    </row>
    <row r="148" customFormat="false" ht="15" hidden="false" customHeight="false" outlineLevel="0" collapsed="false">
      <c r="A148" s="9" t="s">
        <v>259</v>
      </c>
      <c r="B148" s="10" t="n">
        <v>2</v>
      </c>
      <c r="C148" s="11" t="n">
        <v>1100</v>
      </c>
      <c r="D148" s="10" t="s">
        <v>2</v>
      </c>
      <c r="E148" s="9" t="s">
        <v>135</v>
      </c>
      <c r="F148" s="9" t="s">
        <v>117</v>
      </c>
      <c r="G148" s="12" t="s">
        <v>28</v>
      </c>
      <c r="H148" s="9"/>
    </row>
    <row r="149" customFormat="false" ht="15" hidden="false" customHeight="false" outlineLevel="0" collapsed="false">
      <c r="A149" s="9" t="s">
        <v>260</v>
      </c>
      <c r="B149" s="10" t="n">
        <v>2</v>
      </c>
      <c r="C149" s="11" t="n">
        <v>1100</v>
      </c>
      <c r="D149" s="10" t="s">
        <v>2</v>
      </c>
      <c r="E149" s="9" t="s">
        <v>180</v>
      </c>
      <c r="F149" s="9" t="s">
        <v>117</v>
      </c>
      <c r="G149" s="12" t="s">
        <v>28</v>
      </c>
      <c r="H149" s="9"/>
    </row>
    <row r="150" customFormat="false" ht="15" hidden="false" customHeight="false" outlineLevel="0" collapsed="false">
      <c r="A150" s="9" t="s">
        <v>261</v>
      </c>
      <c r="B150" s="10" t="n">
        <v>2</v>
      </c>
      <c r="C150" s="11" t="n">
        <v>1125</v>
      </c>
      <c r="D150" s="10" t="s">
        <v>2</v>
      </c>
      <c r="E150" s="9" t="s">
        <v>262</v>
      </c>
      <c r="F150" s="9" t="s">
        <v>27</v>
      </c>
      <c r="G150" s="12" t="s">
        <v>28</v>
      </c>
      <c r="H150" s="9"/>
    </row>
    <row r="151" customFormat="false" ht="15" hidden="false" customHeight="false" outlineLevel="0" collapsed="false">
      <c r="A151" s="9" t="s">
        <v>263</v>
      </c>
      <c r="B151" s="10" t="n">
        <v>2</v>
      </c>
      <c r="C151" s="11" t="n">
        <v>1200</v>
      </c>
      <c r="D151" s="10" t="s">
        <v>2</v>
      </c>
      <c r="E151" s="9" t="s">
        <v>78</v>
      </c>
      <c r="F151" s="9" t="s">
        <v>105</v>
      </c>
      <c r="G151" s="12" t="s">
        <v>28</v>
      </c>
      <c r="H151" s="9"/>
    </row>
    <row r="152" customFormat="false" ht="15" hidden="false" customHeight="false" outlineLevel="0" collapsed="false">
      <c r="A152" s="9" t="s">
        <v>264</v>
      </c>
      <c r="B152" s="10" t="n">
        <v>2</v>
      </c>
      <c r="C152" s="11" t="n">
        <v>1200</v>
      </c>
      <c r="D152" s="10" t="s">
        <v>2</v>
      </c>
      <c r="E152" s="9" t="s">
        <v>41</v>
      </c>
      <c r="F152" s="9" t="s">
        <v>27</v>
      </c>
      <c r="G152" s="12" t="s">
        <v>28</v>
      </c>
      <c r="H152" s="9"/>
    </row>
    <row r="153" customFormat="false" ht="15" hidden="false" customHeight="false" outlineLevel="0" collapsed="false">
      <c r="A153" s="9" t="s">
        <v>265</v>
      </c>
      <c r="B153" s="10" t="n">
        <v>2</v>
      </c>
      <c r="C153" s="11" t="n">
        <v>1200</v>
      </c>
      <c r="D153" s="10" t="s">
        <v>2</v>
      </c>
      <c r="E153" s="9" t="s">
        <v>266</v>
      </c>
      <c r="F153" s="9" t="s">
        <v>72</v>
      </c>
      <c r="G153" s="12" t="s">
        <v>28</v>
      </c>
      <c r="H153" s="9"/>
    </row>
    <row r="154" customFormat="false" ht="15" hidden="false" customHeight="false" outlineLevel="0" collapsed="false">
      <c r="A154" s="9" t="s">
        <v>267</v>
      </c>
      <c r="B154" s="10" t="n">
        <v>2</v>
      </c>
      <c r="C154" s="11" t="n">
        <v>1200</v>
      </c>
      <c r="D154" s="10" t="s">
        <v>2</v>
      </c>
      <c r="E154" s="9" t="s">
        <v>268</v>
      </c>
      <c r="F154" s="9" t="s">
        <v>183</v>
      </c>
      <c r="G154" s="12" t="s">
        <v>28</v>
      </c>
      <c r="H154" s="9"/>
    </row>
    <row r="155" customFormat="false" ht="15" hidden="false" customHeight="false" outlineLevel="0" collapsed="false">
      <c r="A155" s="9" t="s">
        <v>269</v>
      </c>
      <c r="B155" s="10" t="n">
        <v>2</v>
      </c>
      <c r="C155" s="11" t="n">
        <v>1200</v>
      </c>
      <c r="D155" s="10" t="s">
        <v>2</v>
      </c>
      <c r="E155" s="9" t="s">
        <v>98</v>
      </c>
      <c r="F155" s="9" t="s">
        <v>27</v>
      </c>
      <c r="G155" s="12" t="s">
        <v>28</v>
      </c>
      <c r="H155" s="9"/>
    </row>
    <row r="156" customFormat="false" ht="15" hidden="false" customHeight="false" outlineLevel="0" collapsed="false">
      <c r="A156" s="9" t="s">
        <v>270</v>
      </c>
      <c r="B156" s="10" t="n">
        <v>2</v>
      </c>
      <c r="C156" s="11" t="n">
        <v>1200</v>
      </c>
      <c r="D156" s="10" t="s">
        <v>2</v>
      </c>
      <c r="E156" s="9" t="s">
        <v>165</v>
      </c>
      <c r="F156" s="9" t="s">
        <v>27</v>
      </c>
      <c r="G156" s="12" t="s">
        <v>28</v>
      </c>
      <c r="H156" s="9"/>
    </row>
    <row r="157" customFormat="false" ht="15" hidden="false" customHeight="false" outlineLevel="0" collapsed="false">
      <c r="A157" s="9" t="s">
        <v>271</v>
      </c>
      <c r="B157" s="10" t="n">
        <v>2</v>
      </c>
      <c r="C157" s="11" t="n">
        <v>1250</v>
      </c>
      <c r="D157" s="10" t="s">
        <v>2</v>
      </c>
      <c r="E157" s="9" t="s">
        <v>41</v>
      </c>
      <c r="F157" s="9" t="s">
        <v>27</v>
      </c>
      <c r="G157" s="12" t="s">
        <v>28</v>
      </c>
      <c r="H157" s="9"/>
    </row>
    <row r="158" customFormat="false" ht="15" hidden="false" customHeight="false" outlineLevel="0" collapsed="false">
      <c r="A158" s="9" t="s">
        <v>272</v>
      </c>
      <c r="B158" s="10" t="n">
        <v>2</v>
      </c>
      <c r="C158" s="11" t="n">
        <v>1295</v>
      </c>
      <c r="D158" s="10" t="s">
        <v>2</v>
      </c>
      <c r="E158" s="9" t="s">
        <v>96</v>
      </c>
      <c r="F158" s="9" t="s">
        <v>27</v>
      </c>
      <c r="G158" s="12" t="s">
        <v>28</v>
      </c>
      <c r="H158" s="9"/>
    </row>
    <row r="159" customFormat="false" ht="15" hidden="false" customHeight="false" outlineLevel="0" collapsed="false">
      <c r="A159" s="9" t="s">
        <v>273</v>
      </c>
      <c r="B159" s="10" t="n">
        <v>2</v>
      </c>
      <c r="C159" s="11" t="n">
        <v>1300</v>
      </c>
      <c r="D159" s="10" t="s">
        <v>2</v>
      </c>
      <c r="E159" s="9" t="s">
        <v>143</v>
      </c>
      <c r="F159" s="9" t="s">
        <v>35</v>
      </c>
      <c r="G159" s="12" t="s">
        <v>28</v>
      </c>
      <c r="H159" s="9"/>
    </row>
    <row r="160" customFormat="false" ht="15" hidden="false" customHeight="false" outlineLevel="0" collapsed="false">
      <c r="A160" s="9" t="s">
        <v>274</v>
      </c>
      <c r="B160" s="10" t="n">
        <v>2</v>
      </c>
      <c r="C160" s="11" t="n">
        <v>1300</v>
      </c>
      <c r="D160" s="10" t="s">
        <v>2</v>
      </c>
      <c r="E160" s="9" t="s">
        <v>96</v>
      </c>
      <c r="F160" s="9" t="s">
        <v>72</v>
      </c>
      <c r="G160" s="12" t="s">
        <v>28</v>
      </c>
      <c r="H160" s="9"/>
    </row>
    <row r="161" customFormat="false" ht="15" hidden="false" customHeight="false" outlineLevel="0" collapsed="false">
      <c r="A161" s="9" t="s">
        <v>275</v>
      </c>
      <c r="B161" s="10" t="n">
        <v>2</v>
      </c>
      <c r="C161" s="11" t="n">
        <v>1300</v>
      </c>
      <c r="D161" s="10" t="s">
        <v>2</v>
      </c>
      <c r="E161" s="9" t="s">
        <v>276</v>
      </c>
      <c r="F161" s="9" t="s">
        <v>27</v>
      </c>
      <c r="G161" s="12" t="s">
        <v>28</v>
      </c>
      <c r="H161" s="9"/>
    </row>
    <row r="162" customFormat="false" ht="15" hidden="false" customHeight="false" outlineLevel="0" collapsed="false">
      <c r="A162" s="9" t="s">
        <v>277</v>
      </c>
      <c r="B162" s="10" t="n">
        <v>2</v>
      </c>
      <c r="C162" s="11" t="n">
        <v>1350</v>
      </c>
      <c r="D162" s="10" t="s">
        <v>2</v>
      </c>
      <c r="E162" s="9" t="s">
        <v>242</v>
      </c>
      <c r="F162" s="9" t="s">
        <v>72</v>
      </c>
      <c r="G162" s="12" t="s">
        <v>28</v>
      </c>
      <c r="H162" s="9"/>
    </row>
    <row r="163" customFormat="false" ht="15" hidden="false" customHeight="false" outlineLevel="0" collapsed="false">
      <c r="A163" s="9" t="s">
        <v>278</v>
      </c>
      <c r="B163" s="10" t="n">
        <v>2</v>
      </c>
      <c r="C163" s="11" t="n">
        <v>1400</v>
      </c>
      <c r="D163" s="10" t="s">
        <v>2</v>
      </c>
      <c r="E163" s="9" t="s">
        <v>268</v>
      </c>
      <c r="F163" s="9" t="s">
        <v>27</v>
      </c>
      <c r="G163" s="12" t="s">
        <v>28</v>
      </c>
      <c r="H163" s="9"/>
    </row>
    <row r="164" customFormat="false" ht="15" hidden="false" customHeight="false" outlineLevel="0" collapsed="false">
      <c r="A164" s="9" t="s">
        <v>279</v>
      </c>
      <c r="B164" s="10" t="n">
        <v>2</v>
      </c>
      <c r="C164" s="11" t="n">
        <v>1400</v>
      </c>
      <c r="D164" s="10" t="s">
        <v>2</v>
      </c>
      <c r="E164" s="9" t="s">
        <v>34</v>
      </c>
      <c r="F164" s="9" t="s">
        <v>27</v>
      </c>
      <c r="G164" s="12" t="s">
        <v>28</v>
      </c>
      <c r="H164" s="9"/>
    </row>
    <row r="165" customFormat="false" ht="15" hidden="false" customHeight="false" outlineLevel="0" collapsed="false">
      <c r="A165" s="9" t="s">
        <v>280</v>
      </c>
      <c r="B165" s="10" t="n">
        <v>2</v>
      </c>
      <c r="C165" s="11" t="n">
        <v>1400</v>
      </c>
      <c r="D165" s="10" t="s">
        <v>2</v>
      </c>
      <c r="E165" s="9" t="s">
        <v>156</v>
      </c>
      <c r="F165" s="9" t="s">
        <v>105</v>
      </c>
      <c r="G165" s="12" t="s">
        <v>28</v>
      </c>
      <c r="H165" s="9"/>
    </row>
    <row r="166" customFormat="false" ht="15" hidden="false" customHeight="false" outlineLevel="0" collapsed="false">
      <c r="A166" s="9" t="s">
        <v>281</v>
      </c>
      <c r="B166" s="10" t="n">
        <v>2</v>
      </c>
      <c r="C166" s="11" t="n">
        <v>1500</v>
      </c>
      <c r="D166" s="10" t="s">
        <v>2</v>
      </c>
      <c r="E166" s="9" t="s">
        <v>282</v>
      </c>
      <c r="F166" s="9" t="s">
        <v>27</v>
      </c>
      <c r="G166" s="12" t="s">
        <v>28</v>
      </c>
      <c r="H166" s="9"/>
    </row>
    <row r="167" customFormat="false" ht="15" hidden="false" customHeight="false" outlineLevel="0" collapsed="false">
      <c r="A167" s="9" t="s">
        <v>283</v>
      </c>
      <c r="B167" s="10" t="n">
        <v>2</v>
      </c>
      <c r="C167" s="11" t="n">
        <v>1500</v>
      </c>
      <c r="D167" s="10" t="s">
        <v>2</v>
      </c>
      <c r="E167" s="9" t="s">
        <v>284</v>
      </c>
      <c r="F167" s="9" t="s">
        <v>27</v>
      </c>
      <c r="G167" s="12" t="s">
        <v>28</v>
      </c>
      <c r="H167" s="9"/>
    </row>
    <row r="168" customFormat="false" ht="15" hidden="false" customHeight="false" outlineLevel="0" collapsed="false">
      <c r="A168" s="9" t="s">
        <v>285</v>
      </c>
      <c r="B168" s="10" t="n">
        <v>2</v>
      </c>
      <c r="C168" s="11" t="n">
        <v>1550</v>
      </c>
      <c r="D168" s="10" t="s">
        <v>2</v>
      </c>
      <c r="E168" s="9" t="s">
        <v>286</v>
      </c>
      <c r="F168" s="9" t="s">
        <v>183</v>
      </c>
      <c r="G168" s="12" t="s">
        <v>28</v>
      </c>
      <c r="H168" s="9"/>
    </row>
    <row r="169" customFormat="false" ht="15" hidden="false" customHeight="false" outlineLevel="0" collapsed="false">
      <c r="A169" s="9" t="s">
        <v>287</v>
      </c>
      <c r="B169" s="10" t="n">
        <v>2</v>
      </c>
      <c r="C169" s="11" t="n">
        <v>1600</v>
      </c>
      <c r="D169" s="10" t="s">
        <v>2</v>
      </c>
      <c r="E169" s="9" t="s">
        <v>288</v>
      </c>
      <c r="F169" s="9" t="s">
        <v>105</v>
      </c>
      <c r="G169" s="12" t="s">
        <v>28</v>
      </c>
      <c r="H169" s="9"/>
    </row>
    <row r="170" customFormat="false" ht="15" hidden="false" customHeight="false" outlineLevel="0" collapsed="false">
      <c r="A170" s="9" t="s">
        <v>289</v>
      </c>
      <c r="B170" s="10" t="n">
        <v>2</v>
      </c>
      <c r="C170" s="11" t="n">
        <v>1650</v>
      </c>
      <c r="D170" s="10" t="s">
        <v>2</v>
      </c>
      <c r="E170" s="9" t="s">
        <v>30</v>
      </c>
      <c r="F170" s="9" t="s">
        <v>105</v>
      </c>
      <c r="G170" s="12" t="s">
        <v>28</v>
      </c>
      <c r="H170" s="9"/>
    </row>
    <row r="171" customFormat="false" ht="15" hidden="false" customHeight="false" outlineLevel="0" collapsed="false">
      <c r="A171" s="9" t="s">
        <v>290</v>
      </c>
      <c r="B171" s="10" t="n">
        <v>2</v>
      </c>
      <c r="C171" s="11" t="n">
        <v>1650</v>
      </c>
      <c r="D171" s="10" t="s">
        <v>2</v>
      </c>
      <c r="E171" s="9" t="s">
        <v>291</v>
      </c>
      <c r="F171" s="9" t="s">
        <v>27</v>
      </c>
      <c r="G171" s="12" t="s">
        <v>28</v>
      </c>
      <c r="H171" s="9"/>
    </row>
    <row r="172" customFormat="false" ht="15" hidden="false" customHeight="false" outlineLevel="0" collapsed="false">
      <c r="A172" s="9" t="s">
        <v>292</v>
      </c>
      <c r="B172" s="10" t="n">
        <v>2</v>
      </c>
      <c r="C172" s="11" t="n">
        <v>1650</v>
      </c>
      <c r="D172" s="10" t="s">
        <v>2</v>
      </c>
      <c r="E172" s="9" t="s">
        <v>88</v>
      </c>
      <c r="F172" s="9" t="s">
        <v>189</v>
      </c>
      <c r="G172" s="12" t="s">
        <v>28</v>
      </c>
      <c r="H172" s="9"/>
    </row>
    <row r="173" customFormat="false" ht="15" hidden="false" customHeight="false" outlineLevel="0" collapsed="false">
      <c r="A173" s="9" t="s">
        <v>293</v>
      </c>
      <c r="B173" s="10" t="n">
        <v>3</v>
      </c>
      <c r="C173" s="11" t="n">
        <v>875</v>
      </c>
      <c r="D173" s="10" t="s">
        <v>2</v>
      </c>
      <c r="E173" s="9" t="s">
        <v>291</v>
      </c>
      <c r="F173" s="9" t="s">
        <v>44</v>
      </c>
      <c r="G173" s="12" t="s">
        <v>28</v>
      </c>
      <c r="H173" s="9"/>
    </row>
    <row r="174" customFormat="false" ht="15" hidden="false" customHeight="false" outlineLevel="0" collapsed="false">
      <c r="A174" s="9" t="s">
        <v>294</v>
      </c>
      <c r="B174" s="10" t="n">
        <v>3</v>
      </c>
      <c r="C174" s="11" t="n">
        <v>900</v>
      </c>
      <c r="D174" s="10" t="s">
        <v>2</v>
      </c>
      <c r="E174" s="9" t="s">
        <v>295</v>
      </c>
      <c r="F174" s="9" t="s">
        <v>44</v>
      </c>
      <c r="G174" s="12" t="s">
        <v>28</v>
      </c>
      <c r="H174" s="9"/>
    </row>
    <row r="175" customFormat="false" ht="15" hidden="false" customHeight="false" outlineLevel="0" collapsed="false">
      <c r="A175" s="9" t="s">
        <v>296</v>
      </c>
      <c r="B175" s="10" t="n">
        <v>3</v>
      </c>
      <c r="C175" s="11" t="n">
        <v>1000</v>
      </c>
      <c r="D175" s="10" t="s">
        <v>2</v>
      </c>
      <c r="E175" s="9" t="s">
        <v>297</v>
      </c>
      <c r="F175" s="9" t="s">
        <v>63</v>
      </c>
      <c r="G175" s="12" t="s">
        <v>28</v>
      </c>
      <c r="H175" s="9"/>
    </row>
    <row r="176" customFormat="false" ht="15" hidden="false" customHeight="false" outlineLevel="0" collapsed="false">
      <c r="A176" s="9" t="s">
        <v>298</v>
      </c>
      <c r="B176" s="10" t="n">
        <v>3</v>
      </c>
      <c r="C176" s="11" t="n">
        <v>1150</v>
      </c>
      <c r="D176" s="10" t="s">
        <v>2</v>
      </c>
      <c r="E176" s="9" t="s">
        <v>299</v>
      </c>
      <c r="F176" s="9" t="s">
        <v>35</v>
      </c>
      <c r="G176" s="12" t="s">
        <v>28</v>
      </c>
      <c r="H176" s="9"/>
    </row>
    <row r="177" customFormat="false" ht="15" hidden="false" customHeight="false" outlineLevel="0" collapsed="false">
      <c r="A177" s="9" t="s">
        <v>300</v>
      </c>
      <c r="B177" s="10" t="n">
        <v>3</v>
      </c>
      <c r="C177" s="11" t="n">
        <v>1170</v>
      </c>
      <c r="D177" s="10" t="s">
        <v>2</v>
      </c>
      <c r="E177" s="9" t="s">
        <v>139</v>
      </c>
      <c r="F177" s="9" t="s">
        <v>183</v>
      </c>
      <c r="G177" s="12" t="s">
        <v>28</v>
      </c>
      <c r="H177" s="9"/>
    </row>
    <row r="178" customFormat="false" ht="15" hidden="false" customHeight="false" outlineLevel="0" collapsed="false">
      <c r="A178" s="9" t="s">
        <v>301</v>
      </c>
      <c r="B178" s="10" t="n">
        <v>3</v>
      </c>
      <c r="C178" s="11" t="n">
        <v>1175</v>
      </c>
      <c r="D178" s="10" t="s">
        <v>2</v>
      </c>
      <c r="E178" s="9" t="s">
        <v>291</v>
      </c>
      <c r="F178" s="9" t="s">
        <v>44</v>
      </c>
      <c r="G178" s="12" t="s">
        <v>28</v>
      </c>
      <c r="H178" s="9"/>
    </row>
    <row r="179" customFormat="false" ht="15" hidden="false" customHeight="false" outlineLevel="0" collapsed="false">
      <c r="A179" s="9" t="s">
        <v>302</v>
      </c>
      <c r="B179" s="10" t="n">
        <v>3</v>
      </c>
      <c r="C179" s="11" t="n">
        <v>1185</v>
      </c>
      <c r="D179" s="10" t="s">
        <v>2</v>
      </c>
      <c r="E179" s="9" t="s">
        <v>303</v>
      </c>
      <c r="F179" s="9" t="s">
        <v>35</v>
      </c>
      <c r="G179" s="12" t="s">
        <v>28</v>
      </c>
      <c r="H179" s="9"/>
    </row>
    <row r="180" customFormat="false" ht="15" hidden="false" customHeight="false" outlineLevel="0" collapsed="false">
      <c r="A180" s="9" t="s">
        <v>304</v>
      </c>
      <c r="B180" s="10" t="n">
        <v>3</v>
      </c>
      <c r="C180" s="11" t="n">
        <v>1185</v>
      </c>
      <c r="D180" s="10" t="s">
        <v>2</v>
      </c>
      <c r="E180" s="9" t="s">
        <v>139</v>
      </c>
      <c r="F180" s="9" t="s">
        <v>35</v>
      </c>
      <c r="G180" s="12" t="s">
        <v>28</v>
      </c>
      <c r="H180" s="9"/>
    </row>
    <row r="181" customFormat="false" ht="15" hidden="false" customHeight="false" outlineLevel="0" collapsed="false">
      <c r="A181" s="9" t="s">
        <v>305</v>
      </c>
      <c r="B181" s="10" t="n">
        <v>3</v>
      </c>
      <c r="C181" s="11" t="n">
        <v>1185</v>
      </c>
      <c r="D181" s="10" t="s">
        <v>2</v>
      </c>
      <c r="E181" s="9" t="s">
        <v>139</v>
      </c>
      <c r="F181" s="9" t="s">
        <v>35</v>
      </c>
      <c r="G181" s="12" t="s">
        <v>28</v>
      </c>
      <c r="H181" s="9"/>
    </row>
    <row r="182" customFormat="false" ht="15" hidden="false" customHeight="false" outlineLevel="0" collapsed="false">
      <c r="A182" s="9" t="s">
        <v>306</v>
      </c>
      <c r="B182" s="10" t="n">
        <v>3</v>
      </c>
      <c r="C182" s="11" t="n">
        <v>1185</v>
      </c>
      <c r="D182" s="10" t="s">
        <v>2</v>
      </c>
      <c r="E182" s="9" t="s">
        <v>139</v>
      </c>
      <c r="F182" s="9" t="s">
        <v>35</v>
      </c>
      <c r="G182" s="12" t="s">
        <v>28</v>
      </c>
      <c r="H182" s="9"/>
    </row>
    <row r="183" customFormat="false" ht="15" hidden="false" customHeight="false" outlineLevel="0" collapsed="false">
      <c r="A183" s="9" t="s">
        <v>307</v>
      </c>
      <c r="B183" s="10" t="n">
        <v>3</v>
      </c>
      <c r="C183" s="11" t="n">
        <v>1185</v>
      </c>
      <c r="D183" s="10" t="s">
        <v>2</v>
      </c>
      <c r="E183" s="9" t="s">
        <v>139</v>
      </c>
      <c r="F183" s="9" t="s">
        <v>35</v>
      </c>
      <c r="G183" s="12" t="s">
        <v>28</v>
      </c>
      <c r="H183" s="9"/>
    </row>
    <row r="184" customFormat="false" ht="15" hidden="false" customHeight="false" outlineLevel="0" collapsed="false">
      <c r="A184" s="9" t="s">
        <v>308</v>
      </c>
      <c r="B184" s="10" t="n">
        <v>3</v>
      </c>
      <c r="C184" s="11" t="n">
        <v>1185</v>
      </c>
      <c r="D184" s="10" t="s">
        <v>2</v>
      </c>
      <c r="E184" s="9" t="s">
        <v>139</v>
      </c>
      <c r="F184" s="9" t="s">
        <v>35</v>
      </c>
      <c r="G184" s="12" t="s">
        <v>28</v>
      </c>
      <c r="H184" s="9"/>
    </row>
    <row r="185" customFormat="false" ht="15" hidden="false" customHeight="false" outlineLevel="0" collapsed="false">
      <c r="A185" s="9" t="s">
        <v>309</v>
      </c>
      <c r="B185" s="10" t="n">
        <v>3</v>
      </c>
      <c r="C185" s="11" t="n">
        <v>1200</v>
      </c>
      <c r="D185" s="10" t="s">
        <v>2</v>
      </c>
      <c r="E185" s="9" t="s">
        <v>310</v>
      </c>
      <c r="F185" s="9" t="s">
        <v>35</v>
      </c>
      <c r="G185" s="12" t="s">
        <v>28</v>
      </c>
      <c r="H185" s="9"/>
    </row>
    <row r="186" customFormat="false" ht="15" hidden="false" customHeight="false" outlineLevel="0" collapsed="false">
      <c r="A186" s="9" t="s">
        <v>311</v>
      </c>
      <c r="B186" s="10" t="n">
        <v>3</v>
      </c>
      <c r="C186" s="11" t="n">
        <v>1200</v>
      </c>
      <c r="D186" s="10" t="s">
        <v>2</v>
      </c>
      <c r="E186" s="9" t="s">
        <v>312</v>
      </c>
      <c r="F186" s="9" t="s">
        <v>27</v>
      </c>
      <c r="G186" s="12" t="s">
        <v>28</v>
      </c>
      <c r="H186" s="9"/>
    </row>
    <row r="187" customFormat="false" ht="15" hidden="false" customHeight="false" outlineLevel="0" collapsed="false">
      <c r="A187" s="9" t="s">
        <v>313</v>
      </c>
      <c r="B187" s="10" t="n">
        <v>3</v>
      </c>
      <c r="C187" s="11" t="n">
        <v>1200</v>
      </c>
      <c r="D187" s="10" t="s">
        <v>2</v>
      </c>
      <c r="E187" s="9" t="s">
        <v>78</v>
      </c>
      <c r="F187" s="9" t="s">
        <v>115</v>
      </c>
      <c r="G187" s="12" t="s">
        <v>28</v>
      </c>
      <c r="H187" s="9"/>
    </row>
    <row r="188" customFormat="false" ht="15" hidden="false" customHeight="false" outlineLevel="0" collapsed="false">
      <c r="A188" s="9" t="s">
        <v>314</v>
      </c>
      <c r="B188" s="10" t="n">
        <v>3</v>
      </c>
      <c r="C188" s="11" t="n">
        <v>1230</v>
      </c>
      <c r="D188" s="10" t="s">
        <v>2</v>
      </c>
      <c r="E188" s="9" t="s">
        <v>139</v>
      </c>
      <c r="F188" s="9" t="s">
        <v>35</v>
      </c>
      <c r="G188" s="12" t="s">
        <v>28</v>
      </c>
      <c r="H188" s="9"/>
    </row>
    <row r="189" customFormat="false" ht="15" hidden="false" customHeight="false" outlineLevel="0" collapsed="false">
      <c r="A189" s="9" t="s">
        <v>315</v>
      </c>
      <c r="B189" s="10" t="n">
        <v>3</v>
      </c>
      <c r="C189" s="11" t="n">
        <v>1230</v>
      </c>
      <c r="D189" s="10" t="s">
        <v>2</v>
      </c>
      <c r="E189" s="9" t="s">
        <v>135</v>
      </c>
      <c r="F189" s="9" t="s">
        <v>35</v>
      </c>
      <c r="G189" s="12" t="s">
        <v>28</v>
      </c>
      <c r="H189" s="9"/>
    </row>
    <row r="190" customFormat="false" ht="15" hidden="false" customHeight="false" outlineLevel="0" collapsed="false">
      <c r="A190" s="9" t="s">
        <v>316</v>
      </c>
      <c r="B190" s="10" t="n">
        <v>3</v>
      </c>
      <c r="C190" s="11" t="n">
        <v>1250</v>
      </c>
      <c r="D190" s="10" t="s">
        <v>2</v>
      </c>
      <c r="E190" s="9" t="s">
        <v>58</v>
      </c>
      <c r="F190" s="9" t="s">
        <v>44</v>
      </c>
      <c r="G190" s="12" t="s">
        <v>28</v>
      </c>
      <c r="H190" s="9"/>
    </row>
    <row r="191" customFormat="false" ht="15" hidden="false" customHeight="false" outlineLevel="0" collapsed="false">
      <c r="A191" s="9" t="s">
        <v>317</v>
      </c>
      <c r="B191" s="10" t="n">
        <v>3</v>
      </c>
      <c r="C191" s="11" t="n">
        <v>1250</v>
      </c>
      <c r="D191" s="10" t="s">
        <v>2</v>
      </c>
      <c r="E191" s="9" t="s">
        <v>297</v>
      </c>
      <c r="F191" s="9" t="s">
        <v>27</v>
      </c>
      <c r="G191" s="12" t="s">
        <v>28</v>
      </c>
      <c r="H191" s="9"/>
    </row>
    <row r="192" customFormat="false" ht="15" hidden="false" customHeight="false" outlineLevel="0" collapsed="false">
      <c r="A192" s="9" t="s">
        <v>318</v>
      </c>
      <c r="B192" s="10" t="n">
        <v>3</v>
      </c>
      <c r="C192" s="11" t="n">
        <v>1260</v>
      </c>
      <c r="D192" s="10" t="s">
        <v>2</v>
      </c>
      <c r="E192" s="9" t="s">
        <v>291</v>
      </c>
      <c r="F192" s="9" t="s">
        <v>27</v>
      </c>
      <c r="G192" s="12" t="s">
        <v>28</v>
      </c>
      <c r="H192" s="9"/>
    </row>
    <row r="193" customFormat="false" ht="15" hidden="false" customHeight="false" outlineLevel="0" collapsed="false">
      <c r="A193" s="9" t="s">
        <v>319</v>
      </c>
      <c r="B193" s="10" t="n">
        <v>3</v>
      </c>
      <c r="C193" s="11" t="n">
        <v>1260</v>
      </c>
      <c r="D193" s="10" t="s">
        <v>2</v>
      </c>
      <c r="E193" s="9" t="s">
        <v>128</v>
      </c>
      <c r="F193" s="9" t="s">
        <v>115</v>
      </c>
      <c r="G193" s="12" t="s">
        <v>28</v>
      </c>
      <c r="H193" s="9"/>
    </row>
    <row r="194" customFormat="false" ht="15" hidden="false" customHeight="false" outlineLevel="0" collapsed="false">
      <c r="A194" s="9" t="s">
        <v>320</v>
      </c>
      <c r="B194" s="10" t="n">
        <v>3</v>
      </c>
      <c r="C194" s="11" t="n">
        <v>1275</v>
      </c>
      <c r="D194" s="10" t="s">
        <v>2</v>
      </c>
      <c r="E194" s="9" t="s">
        <v>139</v>
      </c>
      <c r="F194" s="9" t="s">
        <v>35</v>
      </c>
      <c r="G194" s="12" t="s">
        <v>28</v>
      </c>
      <c r="H194" s="9"/>
    </row>
    <row r="195" customFormat="false" ht="15" hidden="false" customHeight="false" outlineLevel="0" collapsed="false">
      <c r="A195" s="9" t="s">
        <v>321</v>
      </c>
      <c r="B195" s="10" t="n">
        <v>3</v>
      </c>
      <c r="C195" s="11" t="n">
        <v>1300</v>
      </c>
      <c r="D195" s="10" t="s">
        <v>2</v>
      </c>
      <c r="E195" s="9" t="s">
        <v>30</v>
      </c>
      <c r="F195" s="9" t="s">
        <v>82</v>
      </c>
      <c r="G195" s="12" t="s">
        <v>28</v>
      </c>
      <c r="H195" s="9"/>
    </row>
    <row r="196" customFormat="false" ht="15" hidden="false" customHeight="false" outlineLevel="0" collapsed="false">
      <c r="A196" s="9" t="s">
        <v>322</v>
      </c>
      <c r="B196" s="10" t="n">
        <v>3</v>
      </c>
      <c r="C196" s="11" t="n">
        <v>1300</v>
      </c>
      <c r="D196" s="10" t="s">
        <v>2</v>
      </c>
      <c r="E196" s="9" t="s">
        <v>232</v>
      </c>
      <c r="F196" s="9" t="s">
        <v>323</v>
      </c>
      <c r="G196" s="12" t="s">
        <v>28</v>
      </c>
      <c r="H196" s="9"/>
    </row>
    <row r="197" customFormat="false" ht="15" hidden="false" customHeight="false" outlineLevel="0" collapsed="false">
      <c r="A197" s="9" t="s">
        <v>324</v>
      </c>
      <c r="B197" s="10" t="n">
        <v>3</v>
      </c>
      <c r="C197" s="11" t="n">
        <v>1300</v>
      </c>
      <c r="D197" s="10" t="s">
        <v>2</v>
      </c>
      <c r="E197" s="9" t="s">
        <v>325</v>
      </c>
      <c r="F197" s="9" t="s">
        <v>27</v>
      </c>
      <c r="G197" s="12" t="s">
        <v>28</v>
      </c>
      <c r="H197" s="9"/>
    </row>
    <row r="198" customFormat="false" ht="15" hidden="false" customHeight="false" outlineLevel="0" collapsed="false">
      <c r="A198" s="9" t="s">
        <v>326</v>
      </c>
      <c r="B198" s="10" t="n">
        <v>3</v>
      </c>
      <c r="C198" s="11" t="n">
        <v>1350</v>
      </c>
      <c r="D198" s="10" t="s">
        <v>2</v>
      </c>
      <c r="E198" s="9" t="s">
        <v>119</v>
      </c>
      <c r="F198" s="9" t="s">
        <v>117</v>
      </c>
      <c r="G198" s="12" t="s">
        <v>28</v>
      </c>
      <c r="H198" s="9"/>
    </row>
    <row r="199" customFormat="false" ht="15" hidden="false" customHeight="false" outlineLevel="0" collapsed="false">
      <c r="A199" s="9" t="s">
        <v>327</v>
      </c>
      <c r="B199" s="10" t="n">
        <v>3</v>
      </c>
      <c r="C199" s="11" t="n">
        <v>1350</v>
      </c>
      <c r="D199" s="10" t="s">
        <v>2</v>
      </c>
      <c r="E199" s="9" t="s">
        <v>247</v>
      </c>
      <c r="F199" s="9" t="s">
        <v>27</v>
      </c>
      <c r="G199" s="12" t="s">
        <v>28</v>
      </c>
      <c r="H199" s="9"/>
    </row>
    <row r="200" customFormat="false" ht="15" hidden="false" customHeight="false" outlineLevel="0" collapsed="false">
      <c r="A200" s="9" t="s">
        <v>328</v>
      </c>
      <c r="B200" s="10" t="n">
        <v>3</v>
      </c>
      <c r="C200" s="11" t="n">
        <v>1350</v>
      </c>
      <c r="D200" s="10" t="s">
        <v>2</v>
      </c>
      <c r="E200" s="9" t="s">
        <v>98</v>
      </c>
      <c r="F200" s="9" t="s">
        <v>117</v>
      </c>
      <c r="G200" s="12" t="s">
        <v>28</v>
      </c>
      <c r="H200" s="9"/>
    </row>
    <row r="201" customFormat="false" ht="15" hidden="false" customHeight="false" outlineLevel="0" collapsed="false">
      <c r="A201" s="9" t="s">
        <v>329</v>
      </c>
      <c r="B201" s="10" t="n">
        <v>3</v>
      </c>
      <c r="C201" s="11" t="n">
        <v>1350</v>
      </c>
      <c r="D201" s="10" t="s">
        <v>2</v>
      </c>
      <c r="E201" s="9" t="s">
        <v>98</v>
      </c>
      <c r="F201" s="9" t="s">
        <v>117</v>
      </c>
      <c r="G201" s="12" t="s">
        <v>28</v>
      </c>
      <c r="H201" s="9"/>
    </row>
    <row r="202" customFormat="false" ht="15" hidden="false" customHeight="false" outlineLevel="0" collapsed="false">
      <c r="A202" s="9" t="s">
        <v>330</v>
      </c>
      <c r="B202" s="10" t="n">
        <v>3</v>
      </c>
      <c r="C202" s="11" t="n">
        <v>1350</v>
      </c>
      <c r="D202" s="10" t="s">
        <v>2</v>
      </c>
      <c r="E202" s="9" t="s">
        <v>141</v>
      </c>
      <c r="F202" s="9" t="s">
        <v>117</v>
      </c>
      <c r="G202" s="12" t="s">
        <v>28</v>
      </c>
      <c r="H202" s="9"/>
    </row>
    <row r="203" customFormat="false" ht="15" hidden="false" customHeight="false" outlineLevel="0" collapsed="false">
      <c r="A203" s="9" t="s">
        <v>331</v>
      </c>
      <c r="B203" s="10" t="n">
        <v>3</v>
      </c>
      <c r="C203" s="11" t="n">
        <v>1350</v>
      </c>
      <c r="D203" s="10" t="s">
        <v>2</v>
      </c>
      <c r="E203" s="9" t="s">
        <v>128</v>
      </c>
      <c r="F203" s="9" t="s">
        <v>117</v>
      </c>
      <c r="G203" s="12" t="s">
        <v>28</v>
      </c>
      <c r="H203" s="9"/>
    </row>
    <row r="204" customFormat="false" ht="15" hidden="false" customHeight="false" outlineLevel="0" collapsed="false">
      <c r="A204" s="9" t="s">
        <v>332</v>
      </c>
      <c r="B204" s="10" t="n">
        <v>3</v>
      </c>
      <c r="C204" s="11" t="n">
        <v>1350</v>
      </c>
      <c r="D204" s="10" t="s">
        <v>2</v>
      </c>
      <c r="E204" s="9" t="s">
        <v>128</v>
      </c>
      <c r="F204" s="9" t="s">
        <v>117</v>
      </c>
      <c r="G204" s="12" t="s">
        <v>28</v>
      </c>
      <c r="H204" s="9"/>
    </row>
    <row r="205" customFormat="false" ht="15" hidden="false" customHeight="false" outlineLevel="0" collapsed="false">
      <c r="A205" s="9" t="s">
        <v>333</v>
      </c>
      <c r="B205" s="10" t="n">
        <v>3</v>
      </c>
      <c r="C205" s="11" t="n">
        <v>1350</v>
      </c>
      <c r="D205" s="10" t="s">
        <v>2</v>
      </c>
      <c r="E205" s="9" t="s">
        <v>128</v>
      </c>
      <c r="F205" s="9" t="s">
        <v>115</v>
      </c>
      <c r="G205" s="12" t="s">
        <v>28</v>
      </c>
      <c r="H205" s="9"/>
    </row>
    <row r="206" customFormat="false" ht="15" hidden="false" customHeight="false" outlineLevel="0" collapsed="false">
      <c r="A206" s="9" t="s">
        <v>334</v>
      </c>
      <c r="B206" s="10" t="n">
        <v>3</v>
      </c>
      <c r="C206" s="11" t="n">
        <v>1350</v>
      </c>
      <c r="D206" s="10" t="s">
        <v>2</v>
      </c>
      <c r="E206" s="9" t="s">
        <v>199</v>
      </c>
      <c r="F206" s="9" t="s">
        <v>105</v>
      </c>
      <c r="G206" s="12" t="s">
        <v>28</v>
      </c>
      <c r="H206" s="9"/>
    </row>
    <row r="207" customFormat="false" ht="15" hidden="false" customHeight="false" outlineLevel="0" collapsed="false">
      <c r="A207" s="9" t="s">
        <v>335</v>
      </c>
      <c r="B207" s="10" t="n">
        <v>3</v>
      </c>
      <c r="C207" s="11" t="n">
        <v>1350</v>
      </c>
      <c r="D207" s="10" t="s">
        <v>2</v>
      </c>
      <c r="E207" s="9" t="s">
        <v>131</v>
      </c>
      <c r="F207" s="9" t="s">
        <v>115</v>
      </c>
      <c r="G207" s="12" t="s">
        <v>28</v>
      </c>
      <c r="H207" s="9"/>
    </row>
    <row r="208" customFormat="false" ht="15" hidden="false" customHeight="false" outlineLevel="0" collapsed="false">
      <c r="A208" s="9" t="s">
        <v>336</v>
      </c>
      <c r="B208" s="10" t="n">
        <v>3</v>
      </c>
      <c r="C208" s="11" t="n">
        <v>1350</v>
      </c>
      <c r="D208" s="10" t="s">
        <v>2</v>
      </c>
      <c r="E208" s="9" t="s">
        <v>128</v>
      </c>
      <c r="F208" s="9" t="s">
        <v>27</v>
      </c>
      <c r="G208" s="12" t="s">
        <v>28</v>
      </c>
      <c r="H208" s="9"/>
    </row>
    <row r="209" customFormat="false" ht="15" hidden="false" customHeight="false" outlineLevel="0" collapsed="false">
      <c r="A209" s="9" t="s">
        <v>337</v>
      </c>
      <c r="B209" s="10" t="n">
        <v>3</v>
      </c>
      <c r="C209" s="11" t="n">
        <v>1350</v>
      </c>
      <c r="D209" s="10" t="s">
        <v>2</v>
      </c>
      <c r="E209" s="9" t="s">
        <v>128</v>
      </c>
      <c r="F209" s="9" t="s">
        <v>117</v>
      </c>
      <c r="G209" s="12" t="s">
        <v>28</v>
      </c>
      <c r="H209" s="9"/>
    </row>
    <row r="210" customFormat="false" ht="15" hidden="false" customHeight="false" outlineLevel="0" collapsed="false">
      <c r="A210" s="9" t="s">
        <v>338</v>
      </c>
      <c r="B210" s="10" t="n">
        <v>3</v>
      </c>
      <c r="C210" s="11" t="n">
        <v>1350</v>
      </c>
      <c r="D210" s="10" t="s">
        <v>2</v>
      </c>
      <c r="E210" s="9" t="s">
        <v>141</v>
      </c>
      <c r="F210" s="9" t="s">
        <v>117</v>
      </c>
      <c r="G210" s="12" t="s">
        <v>28</v>
      </c>
      <c r="H210" s="9"/>
    </row>
    <row r="211" customFormat="false" ht="15" hidden="false" customHeight="false" outlineLevel="0" collapsed="false">
      <c r="A211" s="9" t="s">
        <v>328</v>
      </c>
      <c r="B211" s="10" t="n">
        <v>3</v>
      </c>
      <c r="C211" s="11" t="n">
        <v>1350</v>
      </c>
      <c r="D211" s="10" t="s">
        <v>2</v>
      </c>
      <c r="E211" s="9" t="s">
        <v>131</v>
      </c>
      <c r="F211" s="9" t="s">
        <v>27</v>
      </c>
      <c r="G211" s="12" t="s">
        <v>28</v>
      </c>
      <c r="H211" s="9"/>
    </row>
    <row r="212" customFormat="false" ht="15" hidden="false" customHeight="false" outlineLevel="0" collapsed="false">
      <c r="A212" s="9" t="s">
        <v>339</v>
      </c>
      <c r="B212" s="10" t="n">
        <v>3</v>
      </c>
      <c r="C212" s="11" t="n">
        <v>1350</v>
      </c>
      <c r="D212" s="10" t="s">
        <v>2</v>
      </c>
      <c r="E212" s="9" t="s">
        <v>135</v>
      </c>
      <c r="F212" s="9" t="s">
        <v>105</v>
      </c>
      <c r="G212" s="12" t="s">
        <v>28</v>
      </c>
      <c r="H212" s="9"/>
    </row>
    <row r="213" customFormat="false" ht="15" hidden="false" customHeight="false" outlineLevel="0" collapsed="false">
      <c r="A213" s="9" t="s">
        <v>340</v>
      </c>
      <c r="B213" s="10" t="n">
        <v>3</v>
      </c>
      <c r="C213" s="11" t="n">
        <v>1350</v>
      </c>
      <c r="D213" s="10" t="s">
        <v>2</v>
      </c>
      <c r="E213" s="9" t="s">
        <v>143</v>
      </c>
      <c r="F213" s="9" t="s">
        <v>105</v>
      </c>
      <c r="G213" s="12" t="s">
        <v>28</v>
      </c>
      <c r="H213" s="9"/>
    </row>
    <row r="214" customFormat="false" ht="15" hidden="false" customHeight="false" outlineLevel="0" collapsed="false">
      <c r="A214" s="9" t="s">
        <v>341</v>
      </c>
      <c r="B214" s="10" t="n">
        <v>3</v>
      </c>
      <c r="C214" s="11" t="n">
        <v>1350</v>
      </c>
      <c r="D214" s="10" t="s">
        <v>2</v>
      </c>
      <c r="E214" s="9" t="s">
        <v>143</v>
      </c>
      <c r="F214" s="9" t="s">
        <v>115</v>
      </c>
      <c r="G214" s="12" t="s">
        <v>28</v>
      </c>
      <c r="H214" s="9"/>
    </row>
    <row r="215" customFormat="false" ht="15" hidden="false" customHeight="false" outlineLevel="0" collapsed="false">
      <c r="A215" s="9" t="s">
        <v>342</v>
      </c>
      <c r="B215" s="10" t="n">
        <v>3</v>
      </c>
      <c r="C215" s="11" t="n">
        <v>1350</v>
      </c>
      <c r="D215" s="10" t="s">
        <v>2</v>
      </c>
      <c r="E215" s="9" t="s">
        <v>131</v>
      </c>
      <c r="F215" s="9" t="s">
        <v>105</v>
      </c>
      <c r="G215" s="12" t="s">
        <v>28</v>
      </c>
      <c r="H215" s="9"/>
    </row>
    <row r="216" customFormat="false" ht="15" hidden="false" customHeight="false" outlineLevel="0" collapsed="false">
      <c r="A216" s="9" t="s">
        <v>313</v>
      </c>
      <c r="B216" s="10" t="n">
        <v>3</v>
      </c>
      <c r="C216" s="11" t="n">
        <v>1350</v>
      </c>
      <c r="D216" s="10" t="s">
        <v>2</v>
      </c>
      <c r="E216" s="9" t="s">
        <v>131</v>
      </c>
      <c r="F216" s="9" t="s">
        <v>115</v>
      </c>
      <c r="G216" s="12" t="s">
        <v>28</v>
      </c>
      <c r="H216" s="9"/>
    </row>
    <row r="217" customFormat="false" ht="15" hidden="false" customHeight="false" outlineLevel="0" collapsed="false">
      <c r="A217" s="9" t="s">
        <v>343</v>
      </c>
      <c r="B217" s="10" t="n">
        <v>3</v>
      </c>
      <c r="C217" s="11" t="n">
        <v>1350</v>
      </c>
      <c r="D217" s="10" t="s">
        <v>2</v>
      </c>
      <c r="E217" s="9" t="s">
        <v>141</v>
      </c>
      <c r="F217" s="9" t="s">
        <v>105</v>
      </c>
      <c r="G217" s="12" t="s">
        <v>28</v>
      </c>
      <c r="H217" s="9"/>
    </row>
    <row r="218" customFormat="false" ht="15" hidden="false" customHeight="false" outlineLevel="0" collapsed="false">
      <c r="A218" s="9" t="s">
        <v>344</v>
      </c>
      <c r="B218" s="10" t="n">
        <v>3</v>
      </c>
      <c r="C218" s="11" t="n">
        <v>1350</v>
      </c>
      <c r="D218" s="10" t="s">
        <v>2</v>
      </c>
      <c r="E218" s="9" t="s">
        <v>135</v>
      </c>
      <c r="F218" s="9" t="s">
        <v>105</v>
      </c>
      <c r="G218" s="12" t="s">
        <v>28</v>
      </c>
      <c r="H218" s="9"/>
    </row>
    <row r="219" customFormat="false" ht="15" hidden="false" customHeight="false" outlineLevel="0" collapsed="false">
      <c r="A219" s="9" t="s">
        <v>345</v>
      </c>
      <c r="B219" s="10" t="n">
        <v>3</v>
      </c>
      <c r="C219" s="11" t="n">
        <v>1350</v>
      </c>
      <c r="D219" s="10" t="s">
        <v>2</v>
      </c>
      <c r="E219" s="9" t="s">
        <v>180</v>
      </c>
      <c r="F219" s="9" t="s">
        <v>117</v>
      </c>
      <c r="G219" s="12" t="s">
        <v>28</v>
      </c>
      <c r="H219" s="9"/>
    </row>
    <row r="220" customFormat="false" ht="15" hidden="false" customHeight="false" outlineLevel="0" collapsed="false">
      <c r="A220" s="9" t="s">
        <v>346</v>
      </c>
      <c r="B220" s="10" t="n">
        <v>3</v>
      </c>
      <c r="C220" s="11" t="n">
        <v>1350</v>
      </c>
      <c r="D220" s="10" t="s">
        <v>2</v>
      </c>
      <c r="E220" s="9" t="s">
        <v>135</v>
      </c>
      <c r="F220" s="9" t="s">
        <v>117</v>
      </c>
      <c r="G220" s="12" t="s">
        <v>28</v>
      </c>
      <c r="H220" s="9"/>
    </row>
    <row r="221" customFormat="false" ht="15" hidden="false" customHeight="false" outlineLevel="0" collapsed="false">
      <c r="A221" s="9" t="s">
        <v>347</v>
      </c>
      <c r="B221" s="10" t="n">
        <v>3</v>
      </c>
      <c r="C221" s="11" t="n">
        <v>1375</v>
      </c>
      <c r="D221" s="10" t="s">
        <v>2</v>
      </c>
      <c r="E221" s="9" t="s">
        <v>119</v>
      </c>
      <c r="F221" s="9" t="s">
        <v>31</v>
      </c>
      <c r="G221" s="12" t="s">
        <v>28</v>
      </c>
      <c r="H221" s="9"/>
    </row>
    <row r="222" customFormat="false" ht="15" hidden="false" customHeight="false" outlineLevel="0" collapsed="false">
      <c r="A222" s="9" t="s">
        <v>348</v>
      </c>
      <c r="B222" s="10" t="n">
        <v>3</v>
      </c>
      <c r="C222" s="11" t="n">
        <v>1380</v>
      </c>
      <c r="D222" s="10" t="s">
        <v>2</v>
      </c>
      <c r="E222" s="9" t="s">
        <v>349</v>
      </c>
      <c r="F222" s="9" t="s">
        <v>27</v>
      </c>
      <c r="G222" s="12" t="s">
        <v>28</v>
      </c>
      <c r="H222" s="9"/>
    </row>
    <row r="223" customFormat="false" ht="15" hidden="false" customHeight="false" outlineLevel="0" collapsed="false">
      <c r="A223" s="9" t="s">
        <v>350</v>
      </c>
      <c r="B223" s="10" t="n">
        <v>3</v>
      </c>
      <c r="C223" s="11" t="n">
        <v>1400</v>
      </c>
      <c r="D223" s="10" t="s">
        <v>2</v>
      </c>
      <c r="E223" s="9" t="s">
        <v>37</v>
      </c>
      <c r="F223" s="9" t="s">
        <v>82</v>
      </c>
      <c r="G223" s="12" t="s">
        <v>28</v>
      </c>
      <c r="H223" s="9"/>
    </row>
    <row r="224" customFormat="false" ht="15" hidden="false" customHeight="false" outlineLevel="0" collapsed="false">
      <c r="A224" s="9" t="s">
        <v>351</v>
      </c>
      <c r="B224" s="10" t="n">
        <v>3</v>
      </c>
      <c r="C224" s="11" t="n">
        <v>1400</v>
      </c>
      <c r="D224" s="10" t="s">
        <v>2</v>
      </c>
      <c r="E224" s="9" t="s">
        <v>84</v>
      </c>
      <c r="F224" s="9" t="s">
        <v>117</v>
      </c>
      <c r="G224" s="12" t="s">
        <v>28</v>
      </c>
      <c r="H224" s="9"/>
    </row>
    <row r="225" customFormat="false" ht="15" hidden="false" customHeight="false" outlineLevel="0" collapsed="false">
      <c r="A225" s="9" t="s">
        <v>352</v>
      </c>
      <c r="B225" s="10" t="n">
        <v>3</v>
      </c>
      <c r="C225" s="11" t="n">
        <v>1410</v>
      </c>
      <c r="D225" s="10" t="s">
        <v>2</v>
      </c>
      <c r="E225" s="9" t="s">
        <v>67</v>
      </c>
      <c r="F225" s="9" t="s">
        <v>27</v>
      </c>
      <c r="G225" s="12" t="s">
        <v>28</v>
      </c>
      <c r="H225" s="9"/>
    </row>
    <row r="226" customFormat="false" ht="15" hidden="false" customHeight="false" outlineLevel="0" collapsed="false">
      <c r="A226" s="9" t="s">
        <v>353</v>
      </c>
      <c r="B226" s="10" t="n">
        <v>3</v>
      </c>
      <c r="C226" s="11" t="n">
        <v>1425</v>
      </c>
      <c r="D226" s="10" t="s">
        <v>2</v>
      </c>
      <c r="E226" s="9" t="s">
        <v>354</v>
      </c>
      <c r="F226" s="9" t="s">
        <v>35</v>
      </c>
      <c r="G226" s="12" t="s">
        <v>28</v>
      </c>
      <c r="H226" s="9"/>
    </row>
    <row r="227" customFormat="false" ht="15" hidden="false" customHeight="false" outlineLevel="0" collapsed="false">
      <c r="A227" s="9" t="s">
        <v>355</v>
      </c>
      <c r="B227" s="10" t="n">
        <v>3</v>
      </c>
      <c r="C227" s="11" t="n">
        <v>1425</v>
      </c>
      <c r="D227" s="10" t="s">
        <v>2</v>
      </c>
      <c r="E227" s="9" t="s">
        <v>78</v>
      </c>
      <c r="F227" s="9" t="s">
        <v>117</v>
      </c>
      <c r="G227" s="12" t="s">
        <v>28</v>
      </c>
      <c r="H227" s="9"/>
    </row>
    <row r="228" customFormat="false" ht="15" hidden="false" customHeight="false" outlineLevel="0" collapsed="false">
      <c r="A228" s="9" t="s">
        <v>356</v>
      </c>
      <c r="B228" s="10" t="n">
        <v>3</v>
      </c>
      <c r="C228" s="11" t="n">
        <v>1425</v>
      </c>
      <c r="D228" s="10" t="s">
        <v>2</v>
      </c>
      <c r="E228" s="9" t="s">
        <v>119</v>
      </c>
      <c r="F228" s="9" t="s">
        <v>105</v>
      </c>
      <c r="G228" s="12" t="s">
        <v>28</v>
      </c>
      <c r="H228" s="9"/>
    </row>
    <row r="229" customFormat="false" ht="15" hidden="false" customHeight="false" outlineLevel="0" collapsed="false">
      <c r="A229" s="9" t="s">
        <v>357</v>
      </c>
      <c r="B229" s="10" t="n">
        <v>3</v>
      </c>
      <c r="C229" s="11" t="n">
        <v>1425</v>
      </c>
      <c r="D229" s="10" t="s">
        <v>2</v>
      </c>
      <c r="E229" s="9" t="s">
        <v>131</v>
      </c>
      <c r="F229" s="9" t="s">
        <v>35</v>
      </c>
      <c r="G229" s="12" t="s">
        <v>28</v>
      </c>
      <c r="H229" s="9"/>
    </row>
    <row r="230" customFormat="false" ht="15" hidden="false" customHeight="false" outlineLevel="0" collapsed="false">
      <c r="A230" s="9" t="s">
        <v>358</v>
      </c>
      <c r="B230" s="10" t="n">
        <v>3</v>
      </c>
      <c r="C230" s="11" t="n">
        <v>1425</v>
      </c>
      <c r="D230" s="10" t="s">
        <v>2</v>
      </c>
      <c r="E230" s="9" t="s">
        <v>128</v>
      </c>
      <c r="F230" s="9" t="s">
        <v>105</v>
      </c>
      <c r="G230" s="12" t="s">
        <v>28</v>
      </c>
      <c r="H230" s="9"/>
    </row>
    <row r="231" customFormat="false" ht="15" hidden="false" customHeight="false" outlineLevel="0" collapsed="false">
      <c r="A231" s="9" t="s">
        <v>359</v>
      </c>
      <c r="B231" s="10" t="n">
        <v>3</v>
      </c>
      <c r="C231" s="11" t="n">
        <v>1425</v>
      </c>
      <c r="D231" s="10" t="s">
        <v>2</v>
      </c>
      <c r="E231" s="9" t="s">
        <v>135</v>
      </c>
      <c r="F231" s="9" t="s">
        <v>105</v>
      </c>
      <c r="G231" s="12" t="s">
        <v>28</v>
      </c>
      <c r="H231" s="9"/>
    </row>
    <row r="232" customFormat="false" ht="15" hidden="false" customHeight="false" outlineLevel="0" collapsed="false">
      <c r="A232" s="9" t="s">
        <v>360</v>
      </c>
      <c r="B232" s="10" t="n">
        <v>3</v>
      </c>
      <c r="C232" s="11" t="n">
        <v>1425</v>
      </c>
      <c r="D232" s="10" t="s">
        <v>2</v>
      </c>
      <c r="E232" s="9" t="s">
        <v>135</v>
      </c>
      <c r="F232" s="9" t="s">
        <v>117</v>
      </c>
      <c r="G232" s="12" t="s">
        <v>28</v>
      </c>
      <c r="H232" s="9"/>
    </row>
    <row r="233" customFormat="false" ht="15" hidden="false" customHeight="false" outlineLevel="0" collapsed="false">
      <c r="A233" s="9" t="s">
        <v>361</v>
      </c>
      <c r="B233" s="10" t="n">
        <v>3</v>
      </c>
      <c r="C233" s="11" t="n">
        <v>1425</v>
      </c>
      <c r="D233" s="10" t="s">
        <v>2</v>
      </c>
      <c r="E233" s="9" t="s">
        <v>139</v>
      </c>
      <c r="F233" s="9" t="s">
        <v>115</v>
      </c>
      <c r="G233" s="12" t="s">
        <v>28</v>
      </c>
      <c r="H233" s="9"/>
    </row>
    <row r="234" customFormat="false" ht="15" hidden="false" customHeight="false" outlineLevel="0" collapsed="false">
      <c r="A234" s="9" t="s">
        <v>362</v>
      </c>
      <c r="B234" s="10" t="n">
        <v>3</v>
      </c>
      <c r="C234" s="11" t="n">
        <v>1425</v>
      </c>
      <c r="D234" s="10" t="s">
        <v>2</v>
      </c>
      <c r="E234" s="9" t="s">
        <v>135</v>
      </c>
      <c r="F234" s="9" t="s">
        <v>117</v>
      </c>
      <c r="G234" s="12" t="s">
        <v>28</v>
      </c>
      <c r="H234" s="9"/>
    </row>
    <row r="235" customFormat="false" ht="15" hidden="false" customHeight="false" outlineLevel="0" collapsed="false">
      <c r="A235" s="9" t="s">
        <v>363</v>
      </c>
      <c r="B235" s="10" t="n">
        <v>3</v>
      </c>
      <c r="C235" s="11" t="n">
        <v>1500</v>
      </c>
      <c r="D235" s="10" t="s">
        <v>2</v>
      </c>
      <c r="E235" s="9" t="s">
        <v>245</v>
      </c>
      <c r="F235" s="9" t="s">
        <v>82</v>
      </c>
      <c r="G235" s="12" t="s">
        <v>28</v>
      </c>
      <c r="H235" s="9"/>
    </row>
    <row r="236" customFormat="false" ht="15" hidden="false" customHeight="false" outlineLevel="0" collapsed="false">
      <c r="A236" s="9" t="s">
        <v>364</v>
      </c>
      <c r="B236" s="10" t="n">
        <v>3</v>
      </c>
      <c r="C236" s="11" t="n">
        <v>1500</v>
      </c>
      <c r="D236" s="10" t="s">
        <v>2</v>
      </c>
      <c r="E236" s="9" t="s">
        <v>240</v>
      </c>
      <c r="F236" s="9" t="s">
        <v>27</v>
      </c>
      <c r="G236" s="12" t="s">
        <v>28</v>
      </c>
      <c r="H236" s="9"/>
    </row>
    <row r="237" customFormat="false" ht="15" hidden="false" customHeight="false" outlineLevel="0" collapsed="false">
      <c r="A237" s="9" t="s">
        <v>365</v>
      </c>
      <c r="B237" s="10" t="n">
        <v>3</v>
      </c>
      <c r="C237" s="11" t="n">
        <v>1500</v>
      </c>
      <c r="D237" s="10" t="s">
        <v>2</v>
      </c>
      <c r="E237" s="9" t="s">
        <v>88</v>
      </c>
      <c r="F237" s="9" t="s">
        <v>27</v>
      </c>
      <c r="G237" s="12" t="s">
        <v>28</v>
      </c>
      <c r="H237" s="9"/>
    </row>
    <row r="238" customFormat="false" ht="15" hidden="false" customHeight="false" outlineLevel="0" collapsed="false">
      <c r="A238" s="9" t="s">
        <v>366</v>
      </c>
      <c r="B238" s="10" t="n">
        <v>3</v>
      </c>
      <c r="C238" s="11" t="n">
        <v>1650</v>
      </c>
      <c r="D238" s="10" t="s">
        <v>2</v>
      </c>
      <c r="E238" s="9" t="s">
        <v>367</v>
      </c>
      <c r="F238" s="9" t="s">
        <v>27</v>
      </c>
      <c r="G238" s="12" t="s">
        <v>28</v>
      </c>
      <c r="H238" s="9"/>
    </row>
    <row r="239" customFormat="false" ht="15" hidden="false" customHeight="false" outlineLevel="0" collapsed="false">
      <c r="A239" s="9" t="s">
        <v>368</v>
      </c>
      <c r="B239" s="10" t="n">
        <v>4</v>
      </c>
      <c r="C239" s="11" t="n">
        <v>1050</v>
      </c>
      <c r="D239" s="10" t="s">
        <v>2</v>
      </c>
      <c r="E239" s="9" t="s">
        <v>369</v>
      </c>
      <c r="F239" s="9" t="s">
        <v>370</v>
      </c>
      <c r="G239" s="12" t="s">
        <v>28</v>
      </c>
      <c r="H239" s="9"/>
    </row>
    <row r="240" customFormat="false" ht="15" hidden="false" customHeight="false" outlineLevel="0" collapsed="false">
      <c r="A240" s="9" t="s">
        <v>371</v>
      </c>
      <c r="B240" s="10" t="n">
        <v>4</v>
      </c>
      <c r="C240" s="11" t="n">
        <v>1150</v>
      </c>
      <c r="D240" s="10" t="s">
        <v>2</v>
      </c>
      <c r="E240" s="9" t="s">
        <v>372</v>
      </c>
      <c r="F240" s="9" t="s">
        <v>44</v>
      </c>
      <c r="G240" s="12" t="s">
        <v>28</v>
      </c>
      <c r="H240" s="9"/>
    </row>
    <row r="241" customFormat="false" ht="15" hidden="false" customHeight="false" outlineLevel="0" collapsed="false">
      <c r="A241" s="9" t="s">
        <v>373</v>
      </c>
      <c r="B241" s="10" t="n">
        <v>4</v>
      </c>
      <c r="C241" s="11" t="n">
        <v>1250</v>
      </c>
      <c r="D241" s="10" t="s">
        <v>2</v>
      </c>
      <c r="E241" s="9" t="s">
        <v>374</v>
      </c>
      <c r="F241" s="9" t="s">
        <v>44</v>
      </c>
      <c r="G241" s="12" t="s">
        <v>28</v>
      </c>
      <c r="H241" s="9"/>
    </row>
    <row r="242" customFormat="false" ht="15" hidden="false" customHeight="false" outlineLevel="0" collapsed="false">
      <c r="A242" s="9" t="s">
        <v>375</v>
      </c>
      <c r="B242" s="10" t="n">
        <v>4</v>
      </c>
      <c r="C242" s="11" t="n">
        <v>1500</v>
      </c>
      <c r="D242" s="10" t="s">
        <v>2</v>
      </c>
      <c r="E242" s="9" t="s">
        <v>111</v>
      </c>
      <c r="F242" s="9" t="s">
        <v>82</v>
      </c>
      <c r="G242" s="12" t="s">
        <v>28</v>
      </c>
      <c r="H242" s="9"/>
    </row>
    <row r="243" customFormat="false" ht="15" hidden="false" customHeight="false" outlineLevel="0" collapsed="false">
      <c r="A243" s="9" t="s">
        <v>376</v>
      </c>
      <c r="B243" s="10" t="n">
        <v>4</v>
      </c>
      <c r="C243" s="11" t="n">
        <v>1560</v>
      </c>
      <c r="D243" s="10" t="s">
        <v>2</v>
      </c>
      <c r="E243" s="9" t="s">
        <v>377</v>
      </c>
      <c r="F243" s="9" t="s">
        <v>105</v>
      </c>
      <c r="G243" s="12" t="s">
        <v>28</v>
      </c>
      <c r="H243" s="9"/>
    </row>
    <row r="244" customFormat="false" ht="15" hidden="false" customHeight="false" outlineLevel="0" collapsed="false">
      <c r="A244" s="9" t="s">
        <v>378</v>
      </c>
      <c r="B244" s="10" t="n">
        <v>4</v>
      </c>
      <c r="C244" s="11" t="n">
        <v>1600</v>
      </c>
      <c r="D244" s="10" t="s">
        <v>2</v>
      </c>
      <c r="E244" s="9" t="s">
        <v>242</v>
      </c>
      <c r="F244" s="9" t="s">
        <v>27</v>
      </c>
      <c r="G244" s="12" t="s">
        <v>28</v>
      </c>
      <c r="H244" s="9"/>
    </row>
    <row r="245" customFormat="false" ht="15" hidden="false" customHeight="false" outlineLevel="0" collapsed="false">
      <c r="A245" s="9" t="s">
        <v>379</v>
      </c>
      <c r="B245" s="10" t="n">
        <v>4</v>
      </c>
      <c r="C245" s="11" t="n">
        <v>1600</v>
      </c>
      <c r="D245" s="10" t="s">
        <v>2</v>
      </c>
      <c r="E245" s="9" t="s">
        <v>299</v>
      </c>
      <c r="F245" s="9" t="s">
        <v>27</v>
      </c>
      <c r="G245" s="12" t="s">
        <v>28</v>
      </c>
      <c r="H245" s="9"/>
    </row>
    <row r="246" customFormat="false" ht="15" hidden="false" customHeight="false" outlineLevel="0" collapsed="false">
      <c r="A246" s="9" t="s">
        <v>380</v>
      </c>
      <c r="B246" s="10" t="n">
        <v>4</v>
      </c>
      <c r="C246" s="11" t="n">
        <v>1600</v>
      </c>
      <c r="D246" s="10" t="s">
        <v>2</v>
      </c>
      <c r="E246" s="9" t="s">
        <v>237</v>
      </c>
      <c r="F246" s="9" t="s">
        <v>35</v>
      </c>
      <c r="G246" s="12" t="s">
        <v>28</v>
      </c>
      <c r="H246" s="9"/>
    </row>
    <row r="247" customFormat="false" ht="15" hidden="false" customHeight="false" outlineLevel="0" collapsed="false">
      <c r="A247" s="9" t="s">
        <v>381</v>
      </c>
      <c r="B247" s="10" t="n">
        <v>4</v>
      </c>
      <c r="C247" s="11" t="n">
        <v>1600</v>
      </c>
      <c r="D247" s="10" t="s">
        <v>2</v>
      </c>
      <c r="E247" s="9" t="s">
        <v>291</v>
      </c>
      <c r="F247" s="9" t="s">
        <v>27</v>
      </c>
      <c r="G247" s="12" t="s">
        <v>28</v>
      </c>
      <c r="H247" s="9"/>
    </row>
    <row r="248" customFormat="false" ht="15" hidden="false" customHeight="false" outlineLevel="0" collapsed="false">
      <c r="A248" s="9" t="s">
        <v>382</v>
      </c>
      <c r="B248" s="10" t="n">
        <v>4</v>
      </c>
      <c r="C248" s="11" t="n">
        <v>1640</v>
      </c>
      <c r="D248" s="10" t="s">
        <v>2</v>
      </c>
      <c r="E248" s="9" t="s">
        <v>67</v>
      </c>
      <c r="F248" s="9" t="s">
        <v>35</v>
      </c>
      <c r="G248" s="12" t="s">
        <v>28</v>
      </c>
      <c r="H248" s="9"/>
    </row>
    <row r="249" customFormat="false" ht="15" hidden="false" customHeight="false" outlineLevel="0" collapsed="false">
      <c r="A249" s="9" t="s">
        <v>383</v>
      </c>
      <c r="B249" s="10" t="n">
        <v>4</v>
      </c>
      <c r="C249" s="11" t="n">
        <v>1640</v>
      </c>
      <c r="D249" s="10" t="s">
        <v>2</v>
      </c>
      <c r="E249" s="9" t="s">
        <v>139</v>
      </c>
      <c r="F249" s="9" t="s">
        <v>35</v>
      </c>
      <c r="G249" s="12" t="s">
        <v>28</v>
      </c>
      <c r="H249" s="9"/>
    </row>
    <row r="250" customFormat="false" ht="15" hidden="false" customHeight="false" outlineLevel="0" collapsed="false">
      <c r="A250" s="9" t="s">
        <v>384</v>
      </c>
      <c r="B250" s="10" t="n">
        <v>4</v>
      </c>
      <c r="C250" s="11" t="n">
        <v>1700</v>
      </c>
      <c r="D250" s="10" t="s">
        <v>2</v>
      </c>
      <c r="E250" s="9" t="s">
        <v>56</v>
      </c>
      <c r="F250" s="9" t="s">
        <v>35</v>
      </c>
      <c r="G250" s="12" t="s">
        <v>28</v>
      </c>
      <c r="H250" s="9"/>
    </row>
    <row r="251" customFormat="false" ht="15" hidden="false" customHeight="false" outlineLevel="0" collapsed="false">
      <c r="A251" s="9" t="s">
        <v>385</v>
      </c>
      <c r="B251" s="10" t="n">
        <v>4</v>
      </c>
      <c r="C251" s="11" t="n">
        <v>1700</v>
      </c>
      <c r="D251" s="10" t="s">
        <v>2</v>
      </c>
      <c r="E251" s="9" t="s">
        <v>78</v>
      </c>
      <c r="F251" s="9" t="s">
        <v>105</v>
      </c>
      <c r="G251" s="12" t="s">
        <v>28</v>
      </c>
      <c r="H251" s="9"/>
    </row>
    <row r="252" customFormat="false" ht="15" hidden="false" customHeight="false" outlineLevel="0" collapsed="false">
      <c r="A252" s="9" t="s">
        <v>386</v>
      </c>
      <c r="B252" s="10" t="n">
        <v>4</v>
      </c>
      <c r="C252" s="11" t="n">
        <v>1700</v>
      </c>
      <c r="D252" s="10" t="s">
        <v>2</v>
      </c>
      <c r="E252" s="9" t="s">
        <v>141</v>
      </c>
      <c r="F252" s="9" t="s">
        <v>115</v>
      </c>
      <c r="G252" s="12" t="s">
        <v>28</v>
      </c>
      <c r="H252" s="9"/>
    </row>
    <row r="253" customFormat="false" ht="15" hidden="false" customHeight="false" outlineLevel="0" collapsed="false">
      <c r="A253" s="9" t="s">
        <v>387</v>
      </c>
      <c r="B253" s="10" t="n">
        <v>4</v>
      </c>
      <c r="C253" s="11" t="n">
        <v>1700</v>
      </c>
      <c r="D253" s="10" t="s">
        <v>2</v>
      </c>
      <c r="E253" s="9" t="s">
        <v>141</v>
      </c>
      <c r="F253" s="9" t="s">
        <v>105</v>
      </c>
      <c r="G253" s="12" t="s">
        <v>28</v>
      </c>
      <c r="H253" s="9"/>
    </row>
    <row r="254" customFormat="false" ht="15" hidden="false" customHeight="false" outlineLevel="0" collapsed="false">
      <c r="A254" s="9" t="s">
        <v>388</v>
      </c>
      <c r="B254" s="10" t="n">
        <v>4</v>
      </c>
      <c r="C254" s="11" t="n">
        <v>1700</v>
      </c>
      <c r="D254" s="10" t="s">
        <v>2</v>
      </c>
      <c r="E254" s="9" t="s">
        <v>141</v>
      </c>
      <c r="F254" s="9" t="s">
        <v>105</v>
      </c>
      <c r="G254" s="12" t="s">
        <v>28</v>
      </c>
      <c r="H254" s="9"/>
    </row>
    <row r="255" customFormat="false" ht="15" hidden="false" customHeight="false" outlineLevel="0" collapsed="false">
      <c r="A255" s="9" t="s">
        <v>389</v>
      </c>
      <c r="B255" s="10" t="n">
        <v>4</v>
      </c>
      <c r="C255" s="11" t="n">
        <v>1700</v>
      </c>
      <c r="D255" s="10" t="s">
        <v>2</v>
      </c>
      <c r="E255" s="9" t="s">
        <v>39</v>
      </c>
      <c r="F255" s="9" t="s">
        <v>117</v>
      </c>
      <c r="G255" s="12" t="s">
        <v>28</v>
      </c>
      <c r="H255" s="9"/>
    </row>
    <row r="256" customFormat="false" ht="15" hidden="false" customHeight="false" outlineLevel="0" collapsed="false">
      <c r="A256" s="9" t="s">
        <v>390</v>
      </c>
      <c r="B256" s="10" t="n">
        <v>4</v>
      </c>
      <c r="C256" s="11" t="n">
        <v>1700</v>
      </c>
      <c r="D256" s="10" t="s">
        <v>2</v>
      </c>
      <c r="E256" s="9" t="s">
        <v>141</v>
      </c>
      <c r="F256" s="9" t="s">
        <v>105</v>
      </c>
      <c r="G256" s="12" t="s">
        <v>28</v>
      </c>
      <c r="H256" s="9"/>
    </row>
    <row r="257" customFormat="false" ht="15" hidden="false" customHeight="false" outlineLevel="0" collapsed="false">
      <c r="A257" s="9" t="s">
        <v>388</v>
      </c>
      <c r="B257" s="10" t="n">
        <v>4</v>
      </c>
      <c r="C257" s="11" t="n">
        <v>1700</v>
      </c>
      <c r="D257" s="10" t="s">
        <v>2</v>
      </c>
      <c r="E257" s="9" t="s">
        <v>128</v>
      </c>
      <c r="F257" s="9" t="s">
        <v>105</v>
      </c>
      <c r="G257" s="12" t="s">
        <v>28</v>
      </c>
      <c r="H257" s="9"/>
    </row>
    <row r="258" customFormat="false" ht="15" hidden="false" customHeight="false" outlineLevel="0" collapsed="false">
      <c r="A258" s="9" t="s">
        <v>391</v>
      </c>
      <c r="B258" s="10" t="n">
        <v>4</v>
      </c>
      <c r="C258" s="11" t="n">
        <v>1700</v>
      </c>
      <c r="D258" s="10" t="s">
        <v>2</v>
      </c>
      <c r="E258" s="9" t="s">
        <v>78</v>
      </c>
      <c r="F258" s="9" t="s">
        <v>117</v>
      </c>
      <c r="G258" s="12" t="s">
        <v>28</v>
      </c>
      <c r="H258" s="9"/>
    </row>
    <row r="259" customFormat="false" ht="15" hidden="false" customHeight="false" outlineLevel="0" collapsed="false">
      <c r="A259" s="9" t="s">
        <v>392</v>
      </c>
      <c r="B259" s="10" t="n">
        <v>4</v>
      </c>
      <c r="C259" s="11" t="n">
        <v>1700</v>
      </c>
      <c r="D259" s="10" t="s">
        <v>2</v>
      </c>
      <c r="E259" s="9" t="s">
        <v>128</v>
      </c>
      <c r="F259" s="9" t="s">
        <v>105</v>
      </c>
      <c r="G259" s="12" t="s">
        <v>28</v>
      </c>
      <c r="H259" s="9"/>
    </row>
    <row r="260" customFormat="false" ht="15" hidden="false" customHeight="false" outlineLevel="0" collapsed="false">
      <c r="A260" s="9" t="s">
        <v>393</v>
      </c>
      <c r="B260" s="10" t="n">
        <v>4</v>
      </c>
      <c r="C260" s="11" t="n">
        <v>1700</v>
      </c>
      <c r="D260" s="10" t="s">
        <v>2</v>
      </c>
      <c r="E260" s="9" t="s">
        <v>128</v>
      </c>
      <c r="F260" s="9" t="s">
        <v>115</v>
      </c>
      <c r="G260" s="12" t="s">
        <v>28</v>
      </c>
      <c r="H260" s="9"/>
    </row>
    <row r="261" customFormat="false" ht="15" hidden="false" customHeight="false" outlineLevel="0" collapsed="false">
      <c r="A261" s="9" t="s">
        <v>394</v>
      </c>
      <c r="B261" s="10" t="n">
        <v>4</v>
      </c>
      <c r="C261" s="11" t="n">
        <v>1700</v>
      </c>
      <c r="D261" s="10" t="s">
        <v>2</v>
      </c>
      <c r="E261" s="9" t="s">
        <v>128</v>
      </c>
      <c r="F261" s="9" t="s">
        <v>115</v>
      </c>
      <c r="G261" s="12" t="s">
        <v>28</v>
      </c>
      <c r="H261" s="9"/>
    </row>
    <row r="262" customFormat="false" ht="15" hidden="false" customHeight="false" outlineLevel="0" collapsed="false">
      <c r="A262" s="9" t="s">
        <v>387</v>
      </c>
      <c r="B262" s="10" t="n">
        <v>4</v>
      </c>
      <c r="C262" s="11" t="n">
        <v>1700</v>
      </c>
      <c r="D262" s="10" t="s">
        <v>2</v>
      </c>
      <c r="E262" s="9" t="s">
        <v>128</v>
      </c>
      <c r="F262" s="9" t="s">
        <v>105</v>
      </c>
      <c r="G262" s="12" t="s">
        <v>28</v>
      </c>
      <c r="H262" s="9"/>
    </row>
    <row r="263" customFormat="false" ht="15" hidden="false" customHeight="false" outlineLevel="0" collapsed="false">
      <c r="A263" s="9" t="s">
        <v>395</v>
      </c>
      <c r="B263" s="10" t="n">
        <v>4</v>
      </c>
      <c r="C263" s="11" t="n">
        <v>1700</v>
      </c>
      <c r="D263" s="10" t="s">
        <v>2</v>
      </c>
      <c r="E263" s="9" t="s">
        <v>128</v>
      </c>
      <c r="F263" s="9" t="s">
        <v>117</v>
      </c>
      <c r="G263" s="12" t="s">
        <v>28</v>
      </c>
      <c r="H263" s="9"/>
    </row>
    <row r="264" customFormat="false" ht="15" hidden="false" customHeight="false" outlineLevel="0" collapsed="false">
      <c r="A264" s="9" t="s">
        <v>396</v>
      </c>
      <c r="B264" s="10" t="n">
        <v>4</v>
      </c>
      <c r="C264" s="11" t="n">
        <v>1700</v>
      </c>
      <c r="D264" s="10" t="s">
        <v>2</v>
      </c>
      <c r="E264" s="9" t="s">
        <v>128</v>
      </c>
      <c r="F264" s="9" t="s">
        <v>115</v>
      </c>
      <c r="G264" s="12" t="s">
        <v>28</v>
      </c>
      <c r="H264" s="9"/>
    </row>
    <row r="265" customFormat="false" ht="15" hidden="false" customHeight="false" outlineLevel="0" collapsed="false">
      <c r="A265" s="9" t="s">
        <v>397</v>
      </c>
      <c r="B265" s="10" t="n">
        <v>4</v>
      </c>
      <c r="C265" s="11" t="n">
        <v>1700</v>
      </c>
      <c r="D265" s="10" t="s">
        <v>2</v>
      </c>
      <c r="E265" s="9" t="s">
        <v>78</v>
      </c>
      <c r="F265" s="9" t="s">
        <v>117</v>
      </c>
      <c r="G265" s="12" t="s">
        <v>28</v>
      </c>
      <c r="H265" s="9"/>
    </row>
    <row r="266" customFormat="false" ht="15" hidden="false" customHeight="false" outlineLevel="0" collapsed="false">
      <c r="A266" s="9" t="s">
        <v>398</v>
      </c>
      <c r="B266" s="10" t="n">
        <v>4</v>
      </c>
      <c r="C266" s="11" t="n">
        <v>1700</v>
      </c>
      <c r="D266" s="10" t="s">
        <v>2</v>
      </c>
      <c r="E266" s="9" t="s">
        <v>135</v>
      </c>
      <c r="F266" s="9" t="s">
        <v>35</v>
      </c>
      <c r="G266" s="12" t="s">
        <v>28</v>
      </c>
      <c r="H266" s="9"/>
    </row>
    <row r="267" customFormat="false" ht="15" hidden="false" customHeight="false" outlineLevel="0" collapsed="false">
      <c r="A267" s="9" t="s">
        <v>399</v>
      </c>
      <c r="B267" s="10" t="n">
        <v>4</v>
      </c>
      <c r="C267" s="11" t="n">
        <v>1700</v>
      </c>
      <c r="D267" s="10" t="s">
        <v>2</v>
      </c>
      <c r="E267" s="9" t="s">
        <v>400</v>
      </c>
      <c r="F267" s="9" t="s">
        <v>44</v>
      </c>
      <c r="G267" s="12" t="s">
        <v>28</v>
      </c>
      <c r="H267" s="9"/>
    </row>
    <row r="268" customFormat="false" ht="15" hidden="false" customHeight="false" outlineLevel="0" collapsed="false">
      <c r="A268" s="9" t="s">
        <v>401</v>
      </c>
      <c r="B268" s="10" t="n">
        <v>4</v>
      </c>
      <c r="C268" s="11" t="n">
        <v>1700</v>
      </c>
      <c r="D268" s="10" t="s">
        <v>2</v>
      </c>
      <c r="E268" s="9" t="s">
        <v>131</v>
      </c>
      <c r="F268" s="9" t="s">
        <v>115</v>
      </c>
      <c r="G268" s="12" t="s">
        <v>28</v>
      </c>
      <c r="H268" s="9"/>
    </row>
    <row r="269" customFormat="false" ht="15" hidden="false" customHeight="false" outlineLevel="0" collapsed="false">
      <c r="A269" s="9" t="s">
        <v>402</v>
      </c>
      <c r="B269" s="10" t="n">
        <v>4</v>
      </c>
      <c r="C269" s="11" t="n">
        <v>1700</v>
      </c>
      <c r="D269" s="10" t="s">
        <v>2</v>
      </c>
      <c r="E269" s="9" t="s">
        <v>135</v>
      </c>
      <c r="F269" s="9" t="s">
        <v>117</v>
      </c>
      <c r="G269" s="12" t="s">
        <v>28</v>
      </c>
      <c r="H269" s="9"/>
    </row>
    <row r="270" customFormat="false" ht="15" hidden="false" customHeight="false" outlineLevel="0" collapsed="false">
      <c r="A270" s="9" t="s">
        <v>403</v>
      </c>
      <c r="B270" s="10" t="n">
        <v>4</v>
      </c>
      <c r="C270" s="11" t="n">
        <v>1700</v>
      </c>
      <c r="D270" s="10" t="s">
        <v>2</v>
      </c>
      <c r="E270" s="9" t="s">
        <v>135</v>
      </c>
      <c r="F270" s="9" t="s">
        <v>105</v>
      </c>
      <c r="G270" s="12" t="s">
        <v>28</v>
      </c>
      <c r="H270" s="9"/>
    </row>
    <row r="271" customFormat="false" ht="15" hidden="false" customHeight="false" outlineLevel="0" collapsed="false">
      <c r="A271" s="9" t="s">
        <v>388</v>
      </c>
      <c r="B271" s="10" t="n">
        <v>4</v>
      </c>
      <c r="C271" s="11" t="n">
        <v>1700</v>
      </c>
      <c r="D271" s="10" t="s">
        <v>2</v>
      </c>
      <c r="E271" s="9" t="s">
        <v>135</v>
      </c>
      <c r="F271" s="9" t="s">
        <v>105</v>
      </c>
      <c r="G271" s="12" t="s">
        <v>28</v>
      </c>
      <c r="H271" s="9"/>
    </row>
    <row r="272" customFormat="false" ht="15" hidden="false" customHeight="false" outlineLevel="0" collapsed="false">
      <c r="A272" s="9" t="s">
        <v>404</v>
      </c>
      <c r="B272" s="10" t="n">
        <v>4</v>
      </c>
      <c r="C272" s="11" t="n">
        <v>1700</v>
      </c>
      <c r="D272" s="10" t="s">
        <v>2</v>
      </c>
      <c r="E272" s="9" t="s">
        <v>131</v>
      </c>
      <c r="F272" s="9" t="s">
        <v>115</v>
      </c>
      <c r="G272" s="12" t="s">
        <v>28</v>
      </c>
      <c r="H272" s="9"/>
    </row>
    <row r="273" customFormat="false" ht="15" hidden="false" customHeight="false" outlineLevel="0" collapsed="false">
      <c r="A273" s="9" t="s">
        <v>405</v>
      </c>
      <c r="B273" s="10" t="n">
        <v>4</v>
      </c>
      <c r="C273" s="11" t="n">
        <v>1700</v>
      </c>
      <c r="D273" s="10" t="s">
        <v>2</v>
      </c>
      <c r="E273" s="9" t="s">
        <v>135</v>
      </c>
      <c r="F273" s="9" t="s">
        <v>115</v>
      </c>
      <c r="G273" s="12" t="s">
        <v>28</v>
      </c>
      <c r="H273" s="9"/>
    </row>
    <row r="274" customFormat="false" ht="15" hidden="false" customHeight="false" outlineLevel="0" collapsed="false">
      <c r="A274" s="9" t="s">
        <v>387</v>
      </c>
      <c r="B274" s="10" t="n">
        <v>4</v>
      </c>
      <c r="C274" s="11" t="n">
        <v>1700</v>
      </c>
      <c r="D274" s="10" t="s">
        <v>2</v>
      </c>
      <c r="E274" s="9" t="s">
        <v>135</v>
      </c>
      <c r="F274" s="9" t="s">
        <v>105</v>
      </c>
      <c r="G274" s="12" t="s">
        <v>28</v>
      </c>
      <c r="H274" s="9"/>
    </row>
    <row r="275" customFormat="false" ht="15" hidden="false" customHeight="false" outlineLevel="0" collapsed="false">
      <c r="A275" s="9" t="s">
        <v>406</v>
      </c>
      <c r="B275" s="10" t="n">
        <v>4</v>
      </c>
      <c r="C275" s="11" t="n">
        <v>1700</v>
      </c>
      <c r="D275" s="10" t="s">
        <v>2</v>
      </c>
      <c r="E275" s="9" t="s">
        <v>135</v>
      </c>
      <c r="F275" s="9" t="s">
        <v>115</v>
      </c>
      <c r="G275" s="12" t="s">
        <v>28</v>
      </c>
      <c r="H275" s="9"/>
    </row>
    <row r="276" customFormat="false" ht="15" hidden="false" customHeight="false" outlineLevel="0" collapsed="false">
      <c r="A276" s="9" t="s">
        <v>407</v>
      </c>
      <c r="B276" s="10" t="n">
        <v>5</v>
      </c>
      <c r="C276" s="11" t="n">
        <v>1650</v>
      </c>
      <c r="D276" s="10" t="s">
        <v>2</v>
      </c>
      <c r="E276" s="9" t="s">
        <v>408</v>
      </c>
      <c r="F276" s="9" t="s">
        <v>35</v>
      </c>
      <c r="G276" s="12" t="s">
        <v>28</v>
      </c>
      <c r="H276" s="9"/>
    </row>
    <row r="277" customFormat="false" ht="15" hidden="false" customHeight="false" outlineLevel="0" collapsed="false">
      <c r="A277" s="9" t="s">
        <v>409</v>
      </c>
      <c r="B277" s="10" t="n">
        <v>5</v>
      </c>
      <c r="C277" s="11" t="n">
        <v>1650</v>
      </c>
      <c r="D277" s="10" t="s">
        <v>2</v>
      </c>
      <c r="E277" s="9" t="s">
        <v>410</v>
      </c>
      <c r="F277" s="9" t="s">
        <v>117</v>
      </c>
      <c r="G277" s="12" t="s">
        <v>28</v>
      </c>
      <c r="H277" s="9"/>
    </row>
    <row r="278" customFormat="false" ht="15" hidden="false" customHeight="false" outlineLevel="0" collapsed="false">
      <c r="A278" s="9" t="s">
        <v>411</v>
      </c>
      <c r="B278" s="10" t="n">
        <v>5</v>
      </c>
      <c r="C278" s="11" t="n">
        <v>1650</v>
      </c>
      <c r="D278" s="10" t="s">
        <v>2</v>
      </c>
      <c r="E278" s="9" t="s">
        <v>247</v>
      </c>
      <c r="F278" s="9" t="s">
        <v>35</v>
      </c>
      <c r="G278" s="12" t="s">
        <v>28</v>
      </c>
      <c r="H278" s="9"/>
    </row>
    <row r="279" customFormat="false" ht="15" hidden="false" customHeight="false" outlineLevel="0" collapsed="false">
      <c r="A279" s="9" t="s">
        <v>412</v>
      </c>
      <c r="B279" s="10" t="n">
        <v>5</v>
      </c>
      <c r="C279" s="11" t="n">
        <v>1800</v>
      </c>
      <c r="D279" s="10" t="s">
        <v>2</v>
      </c>
      <c r="E279" s="9" t="s">
        <v>325</v>
      </c>
      <c r="F279" s="9" t="s">
        <v>63</v>
      </c>
      <c r="G279" s="12" t="s">
        <v>28</v>
      </c>
      <c r="H279" s="9"/>
    </row>
    <row r="280" customFormat="false" ht="15" hidden="false" customHeight="false" outlineLevel="0" collapsed="false">
      <c r="A280" s="9" t="s">
        <v>413</v>
      </c>
      <c r="B280" s="10" t="n">
        <v>5</v>
      </c>
      <c r="C280" s="11" t="n">
        <v>1800</v>
      </c>
      <c r="D280" s="10" t="s">
        <v>2</v>
      </c>
      <c r="E280" s="9" t="s">
        <v>325</v>
      </c>
      <c r="F280" s="9" t="s">
        <v>35</v>
      </c>
      <c r="G280" s="12" t="s">
        <v>28</v>
      </c>
      <c r="H280" s="9"/>
    </row>
    <row r="281" customFormat="false" ht="15" hidden="false" customHeight="false" outlineLevel="0" collapsed="false">
      <c r="A281" s="9" t="s">
        <v>414</v>
      </c>
      <c r="B281" s="10" t="n">
        <v>5</v>
      </c>
      <c r="C281" s="11" t="n">
        <v>1875</v>
      </c>
      <c r="D281" s="10" t="s">
        <v>2</v>
      </c>
      <c r="E281" s="9" t="s">
        <v>291</v>
      </c>
      <c r="F281" s="9" t="s">
        <v>27</v>
      </c>
      <c r="G281" s="12" t="s">
        <v>28</v>
      </c>
      <c r="H281" s="9"/>
    </row>
    <row r="282" customFormat="false" ht="15" hidden="false" customHeight="false" outlineLevel="0" collapsed="false">
      <c r="A282" s="9" t="s">
        <v>415</v>
      </c>
      <c r="B282" s="10" t="n">
        <v>5</v>
      </c>
      <c r="C282" s="11" t="n">
        <v>1875</v>
      </c>
      <c r="D282" s="10" t="s">
        <v>2</v>
      </c>
      <c r="E282" s="9" t="s">
        <v>282</v>
      </c>
      <c r="F282" s="9" t="s">
        <v>183</v>
      </c>
      <c r="G282" s="12" t="s">
        <v>28</v>
      </c>
      <c r="H282" s="9"/>
    </row>
    <row r="283" customFormat="false" ht="15" hidden="false" customHeight="false" outlineLevel="0" collapsed="false">
      <c r="A283" s="9" t="s">
        <v>416</v>
      </c>
      <c r="B283" s="10" t="n">
        <v>5</v>
      </c>
      <c r="C283" s="11" t="n">
        <v>1950</v>
      </c>
      <c r="D283" s="10" t="s">
        <v>2</v>
      </c>
      <c r="E283" s="9" t="s">
        <v>98</v>
      </c>
      <c r="F283" s="9" t="s">
        <v>35</v>
      </c>
      <c r="G283" s="12" t="s">
        <v>28</v>
      </c>
      <c r="H283" s="9"/>
    </row>
    <row r="284" customFormat="false" ht="15" hidden="false" customHeight="false" outlineLevel="0" collapsed="false">
      <c r="A284" s="9" t="s">
        <v>417</v>
      </c>
      <c r="B284" s="10" t="n">
        <v>5</v>
      </c>
      <c r="C284" s="11" t="n">
        <v>1950</v>
      </c>
      <c r="D284" s="10" t="s">
        <v>2</v>
      </c>
      <c r="E284" s="9" t="s">
        <v>128</v>
      </c>
      <c r="F284" s="9" t="s">
        <v>418</v>
      </c>
      <c r="G284" s="12" t="s">
        <v>28</v>
      </c>
      <c r="H284" s="9"/>
    </row>
    <row r="285" customFormat="false" ht="15" hidden="false" customHeight="false" outlineLevel="0" collapsed="false">
      <c r="A285" s="9" t="s">
        <v>419</v>
      </c>
      <c r="B285" s="10" t="n">
        <v>5</v>
      </c>
      <c r="C285" s="11" t="n">
        <v>1950</v>
      </c>
      <c r="D285" s="10" t="s">
        <v>2</v>
      </c>
      <c r="E285" s="9" t="s">
        <v>128</v>
      </c>
      <c r="F285" s="9" t="s">
        <v>35</v>
      </c>
      <c r="G285" s="12" t="s">
        <v>28</v>
      </c>
      <c r="H285" s="9"/>
    </row>
    <row r="286" customFormat="false" ht="15" hidden="false" customHeight="false" outlineLevel="0" collapsed="false">
      <c r="A286" s="9" t="s">
        <v>420</v>
      </c>
      <c r="B286" s="10" t="n">
        <v>5</v>
      </c>
      <c r="C286" s="11" t="n">
        <v>1950</v>
      </c>
      <c r="D286" s="10" t="s">
        <v>2</v>
      </c>
      <c r="E286" s="9" t="s">
        <v>135</v>
      </c>
      <c r="F286" s="9" t="s">
        <v>31</v>
      </c>
      <c r="G286" s="12" t="s">
        <v>28</v>
      </c>
      <c r="H286" s="9"/>
    </row>
    <row r="287" customFormat="false" ht="15" hidden="false" customHeight="false" outlineLevel="0" collapsed="false">
      <c r="A287" s="9" t="s">
        <v>420</v>
      </c>
      <c r="B287" s="10" t="n">
        <v>5</v>
      </c>
      <c r="C287" s="11" t="n">
        <v>1950</v>
      </c>
      <c r="D287" s="10" t="s">
        <v>2</v>
      </c>
      <c r="E287" s="9" t="s">
        <v>400</v>
      </c>
      <c r="F287" s="9" t="s">
        <v>63</v>
      </c>
      <c r="G287" s="12" t="s">
        <v>28</v>
      </c>
      <c r="H287" s="9"/>
    </row>
    <row r="288" customFormat="false" ht="15" hidden="false" customHeight="false" outlineLevel="0" collapsed="false">
      <c r="A288" s="9" t="s">
        <v>421</v>
      </c>
      <c r="B288" s="10" t="n">
        <v>5</v>
      </c>
      <c r="C288" s="11" t="n">
        <v>1950</v>
      </c>
      <c r="D288" s="10" t="s">
        <v>2</v>
      </c>
      <c r="E288" s="9" t="s">
        <v>135</v>
      </c>
      <c r="F288" s="9" t="s">
        <v>35</v>
      </c>
      <c r="G288" s="12" t="s">
        <v>28</v>
      </c>
      <c r="H288" s="9"/>
    </row>
    <row r="289" customFormat="false" ht="15" hidden="false" customHeight="false" outlineLevel="0" collapsed="false">
      <c r="A289" s="9" t="s">
        <v>422</v>
      </c>
      <c r="B289" s="10" t="n">
        <v>5</v>
      </c>
      <c r="C289" s="11" t="n">
        <v>1950</v>
      </c>
      <c r="D289" s="10" t="s">
        <v>2</v>
      </c>
      <c r="E289" s="9" t="s">
        <v>135</v>
      </c>
      <c r="F289" s="9" t="s">
        <v>63</v>
      </c>
      <c r="G289" s="12" t="s">
        <v>28</v>
      </c>
      <c r="H289" s="9"/>
    </row>
    <row r="290" customFormat="false" ht="15" hidden="false" customHeight="false" outlineLevel="0" collapsed="false">
      <c r="A290" s="9" t="s">
        <v>313</v>
      </c>
      <c r="B290" s="10" t="n">
        <v>5</v>
      </c>
      <c r="C290" s="11" t="n">
        <v>1950</v>
      </c>
      <c r="D290" s="10" t="s">
        <v>2</v>
      </c>
      <c r="E290" s="9" t="s">
        <v>143</v>
      </c>
      <c r="F290" s="9" t="s">
        <v>183</v>
      </c>
      <c r="G290" s="12" t="s">
        <v>28</v>
      </c>
      <c r="H290" s="9"/>
    </row>
    <row r="291" customFormat="false" ht="15" hidden="false" customHeight="false" outlineLevel="0" collapsed="false">
      <c r="A291" s="9" t="s">
        <v>423</v>
      </c>
      <c r="B291" s="10" t="n">
        <v>5</v>
      </c>
      <c r="C291" s="11" t="n">
        <v>1950</v>
      </c>
      <c r="D291" s="10" t="s">
        <v>2</v>
      </c>
      <c r="E291" s="9" t="s">
        <v>135</v>
      </c>
      <c r="F291" s="9" t="s">
        <v>35</v>
      </c>
      <c r="G291" s="12" t="s">
        <v>28</v>
      </c>
      <c r="H291" s="9"/>
    </row>
    <row r="292" customFormat="false" ht="15" hidden="false" customHeight="false" outlineLevel="0" collapsed="false">
      <c r="A292" s="9" t="s">
        <v>424</v>
      </c>
      <c r="B292" s="10" t="n">
        <v>5</v>
      </c>
      <c r="C292" s="11" t="n">
        <v>1975</v>
      </c>
      <c r="D292" s="10" t="s">
        <v>2</v>
      </c>
      <c r="E292" s="9" t="s">
        <v>425</v>
      </c>
      <c r="F292" s="9" t="s">
        <v>27</v>
      </c>
      <c r="G292" s="12" t="s">
        <v>28</v>
      </c>
      <c r="H292" s="9"/>
    </row>
    <row r="293" customFormat="false" ht="15" hidden="false" customHeight="false" outlineLevel="0" collapsed="false">
      <c r="A293" s="9" t="s">
        <v>426</v>
      </c>
      <c r="B293" s="10" t="n">
        <v>5</v>
      </c>
      <c r="C293" s="11" t="n">
        <v>2000</v>
      </c>
      <c r="D293" s="10" t="s">
        <v>2</v>
      </c>
      <c r="E293" s="9" t="s">
        <v>291</v>
      </c>
      <c r="F293" s="9" t="s">
        <v>27</v>
      </c>
      <c r="G293" s="12" t="s">
        <v>28</v>
      </c>
      <c r="H293" s="9"/>
    </row>
    <row r="294" customFormat="false" ht="15" hidden="false" customHeight="false" outlineLevel="0" collapsed="false">
      <c r="A294" s="9" t="s">
        <v>427</v>
      </c>
      <c r="B294" s="10" t="n">
        <v>5</v>
      </c>
      <c r="C294" s="11" t="n">
        <v>2000</v>
      </c>
      <c r="D294" s="10" t="s">
        <v>2</v>
      </c>
      <c r="E294" s="9" t="s">
        <v>128</v>
      </c>
      <c r="F294" s="9" t="s">
        <v>27</v>
      </c>
      <c r="G294" s="12" t="s">
        <v>28</v>
      </c>
      <c r="H294" s="9"/>
    </row>
    <row r="295" customFormat="false" ht="15" hidden="false" customHeight="false" outlineLevel="0" collapsed="false">
      <c r="A295" s="9" t="s">
        <v>428</v>
      </c>
      <c r="B295" s="10" t="n">
        <v>5</v>
      </c>
      <c r="C295" s="11" t="n">
        <v>2000</v>
      </c>
      <c r="D295" s="10" t="s">
        <v>2</v>
      </c>
      <c r="E295" s="9" t="s">
        <v>39</v>
      </c>
      <c r="F295" s="9" t="s">
        <v>183</v>
      </c>
      <c r="G295" s="12" t="s">
        <v>28</v>
      </c>
      <c r="H295" s="9"/>
    </row>
    <row r="296" customFormat="false" ht="15" hidden="false" customHeight="false" outlineLevel="0" collapsed="false">
      <c r="A296" s="9" t="s">
        <v>429</v>
      </c>
      <c r="B296" s="10" t="n">
        <v>5</v>
      </c>
      <c r="C296" s="11" t="n">
        <v>2000</v>
      </c>
      <c r="D296" s="10" t="s">
        <v>2</v>
      </c>
      <c r="E296" s="9" t="s">
        <v>131</v>
      </c>
      <c r="F296" s="9" t="s">
        <v>183</v>
      </c>
      <c r="G296" s="12" t="s">
        <v>28</v>
      </c>
      <c r="H296" s="9"/>
    </row>
    <row r="297" customFormat="false" ht="15" hidden="false" customHeight="false" outlineLevel="0" collapsed="false">
      <c r="A297" s="9" t="s">
        <v>430</v>
      </c>
      <c r="B297" s="10" t="n">
        <v>5</v>
      </c>
      <c r="C297" s="11" t="n">
        <v>2100</v>
      </c>
      <c r="D297" s="10" t="s">
        <v>2</v>
      </c>
      <c r="E297" s="9" t="s">
        <v>161</v>
      </c>
      <c r="F297" s="9" t="s">
        <v>35</v>
      </c>
      <c r="G297" s="12" t="s">
        <v>28</v>
      </c>
      <c r="H297" s="9"/>
    </row>
    <row r="298" customFormat="false" ht="15" hidden="false" customHeight="false" outlineLevel="0" collapsed="false">
      <c r="A298" s="9" t="s">
        <v>404</v>
      </c>
      <c r="B298" s="10" t="n">
        <v>5</v>
      </c>
      <c r="C298" s="11" t="n">
        <v>2250</v>
      </c>
      <c r="D298" s="10" t="s">
        <v>2</v>
      </c>
      <c r="E298" s="9" t="s">
        <v>143</v>
      </c>
      <c r="F298" s="9" t="s">
        <v>183</v>
      </c>
      <c r="G298" s="12" t="s">
        <v>28</v>
      </c>
      <c r="H298" s="9"/>
    </row>
    <row r="299" customFormat="false" ht="15" hidden="false" customHeight="false" outlineLevel="0" collapsed="false">
      <c r="A299" s="9" t="s">
        <v>431</v>
      </c>
      <c r="B299" s="10" t="n">
        <v>5</v>
      </c>
      <c r="C299" s="11" t="n">
        <v>2425</v>
      </c>
      <c r="D299" s="10" t="s">
        <v>2</v>
      </c>
      <c r="E299" s="9" t="s">
        <v>432</v>
      </c>
      <c r="F299" s="9" t="s">
        <v>44</v>
      </c>
      <c r="G299" s="12" t="s">
        <v>28</v>
      </c>
      <c r="H299" s="9"/>
    </row>
    <row r="300" customFormat="false" ht="15" hidden="false" customHeight="false" outlineLevel="0" collapsed="false">
      <c r="A300" s="9" t="s">
        <v>433</v>
      </c>
      <c r="B300" s="10" t="n">
        <v>6</v>
      </c>
      <c r="C300" s="11" t="n">
        <v>2700</v>
      </c>
      <c r="D300" s="10" t="s">
        <v>2</v>
      </c>
      <c r="E300" s="9" t="s">
        <v>56</v>
      </c>
      <c r="F300" s="9" t="s">
        <v>35</v>
      </c>
      <c r="G300" s="12" t="s">
        <v>28</v>
      </c>
      <c r="H300" s="9"/>
    </row>
    <row r="301" customFormat="false" ht="15" hidden="false" customHeight="false" outlineLevel="0" collapsed="false">
      <c r="A301" s="9" t="s">
        <v>434</v>
      </c>
      <c r="B301" s="10" t="n">
        <v>6</v>
      </c>
      <c r="C301" s="11" t="n">
        <v>2700</v>
      </c>
      <c r="D301" s="10" t="s">
        <v>2</v>
      </c>
      <c r="E301" s="9" t="s">
        <v>141</v>
      </c>
      <c r="F301" s="9" t="s">
        <v>27</v>
      </c>
      <c r="G301" s="12" t="s">
        <v>28</v>
      </c>
      <c r="H301" s="9"/>
    </row>
    <row r="302" customFormat="false" ht="15" hidden="false" customHeight="false" outlineLevel="0" collapsed="false">
      <c r="A302" s="9" t="s">
        <v>435</v>
      </c>
      <c r="B302" s="10" t="n">
        <v>6</v>
      </c>
      <c r="C302" s="11" t="n">
        <v>2700</v>
      </c>
      <c r="D302" s="10" t="s">
        <v>2</v>
      </c>
      <c r="E302" s="9" t="s">
        <v>143</v>
      </c>
      <c r="F302" s="9" t="s">
        <v>183</v>
      </c>
      <c r="G302" s="12" t="s">
        <v>28</v>
      </c>
      <c r="H302" s="9"/>
    </row>
    <row r="303" customFormat="false" ht="15" hidden="false" customHeight="false" outlineLevel="0" collapsed="false">
      <c r="A303" s="9" t="s">
        <v>436</v>
      </c>
      <c r="B303" s="10" t="n">
        <v>6</v>
      </c>
      <c r="C303" s="11" t="n">
        <v>2700</v>
      </c>
      <c r="D303" s="10" t="s">
        <v>2</v>
      </c>
      <c r="E303" s="9" t="s">
        <v>128</v>
      </c>
      <c r="F303" s="9" t="s">
        <v>183</v>
      </c>
      <c r="G303" s="12" t="s">
        <v>28</v>
      </c>
      <c r="H303" s="9"/>
    </row>
    <row r="304" customFormat="false" ht="15" hidden="false" customHeight="false" outlineLevel="0" collapsed="false">
      <c r="A304" s="9" t="s">
        <v>437</v>
      </c>
      <c r="B304" s="10" t="n">
        <v>6</v>
      </c>
      <c r="C304" s="11" t="n">
        <v>2700</v>
      </c>
      <c r="D304" s="10" t="s">
        <v>2</v>
      </c>
      <c r="E304" s="9" t="s">
        <v>128</v>
      </c>
      <c r="F304" s="9" t="s">
        <v>183</v>
      </c>
      <c r="G304" s="12" t="s">
        <v>28</v>
      </c>
      <c r="H304" s="9"/>
    </row>
    <row r="305" customFormat="false" ht="15" hidden="false" customHeight="false" outlineLevel="0" collapsed="false">
      <c r="A305" s="9" t="s">
        <v>438</v>
      </c>
      <c r="B305" s="10" t="n">
        <v>6</v>
      </c>
      <c r="C305" s="11" t="n">
        <v>2700</v>
      </c>
      <c r="D305" s="10" t="s">
        <v>2</v>
      </c>
      <c r="E305" s="9" t="s">
        <v>131</v>
      </c>
      <c r="F305" s="9" t="s">
        <v>370</v>
      </c>
      <c r="G305" s="12" t="s">
        <v>28</v>
      </c>
      <c r="H305" s="9"/>
    </row>
    <row r="306" customFormat="false" ht="15" hidden="false" customHeight="false" outlineLevel="0" collapsed="false">
      <c r="A306" s="9" t="s">
        <v>439</v>
      </c>
      <c r="B306" s="10" t="n">
        <v>7</v>
      </c>
      <c r="C306" s="11" t="n">
        <v>3150</v>
      </c>
      <c r="D306" s="10" t="s">
        <v>2</v>
      </c>
      <c r="E306" s="9" t="s">
        <v>141</v>
      </c>
      <c r="F306" s="9" t="s">
        <v>440</v>
      </c>
      <c r="G306" s="12" t="s">
        <v>28</v>
      </c>
      <c r="H306" s="9"/>
    </row>
    <row r="307" customFormat="false" ht="15" hidden="false" customHeight="false" outlineLevel="0" collapsed="false">
      <c r="A307" s="9" t="s">
        <v>441</v>
      </c>
      <c r="B307" s="10" t="n">
        <v>8</v>
      </c>
      <c r="C307" s="11" t="n">
        <v>3600</v>
      </c>
      <c r="D307" s="10" t="s">
        <v>2</v>
      </c>
      <c r="E307" s="9" t="s">
        <v>128</v>
      </c>
      <c r="F307" s="9" t="s">
        <v>183</v>
      </c>
      <c r="G307" s="12" t="s">
        <v>28</v>
      </c>
      <c r="H307" s="9" t="s">
        <v>442</v>
      </c>
    </row>
    <row r="308" customFormat="false" ht="15" hidden="false" customHeight="false" outlineLevel="0" collapsed="false">
      <c r="A308" s="9" t="s">
        <v>443</v>
      </c>
      <c r="B308" s="10" t="n">
        <v>8</v>
      </c>
      <c r="C308" s="11" t="n">
        <v>3600</v>
      </c>
      <c r="D308" s="10" t="s">
        <v>2</v>
      </c>
      <c r="E308" s="9" t="s">
        <v>128</v>
      </c>
      <c r="F308" s="9" t="s">
        <v>183</v>
      </c>
      <c r="G308" s="12" t="s">
        <v>28</v>
      </c>
      <c r="H308" s="9" t="s">
        <v>442</v>
      </c>
    </row>
    <row r="309" customFormat="false" ht="15" hidden="false" customHeight="false" outlineLevel="0" collapsed="false">
      <c r="A309" s="9" t="s">
        <v>444</v>
      </c>
      <c r="B309" s="10" t="n">
        <v>8</v>
      </c>
      <c r="C309" s="11" t="n">
        <v>3600</v>
      </c>
      <c r="D309" s="10" t="s">
        <v>2</v>
      </c>
      <c r="E309" s="9" t="s">
        <v>282</v>
      </c>
      <c r="F309" s="9" t="s">
        <v>183</v>
      </c>
      <c r="G309" s="12" t="s">
        <v>28</v>
      </c>
      <c r="H309" s="9" t="s">
        <v>442</v>
      </c>
    </row>
    <row r="310" customFormat="false" ht="15" hidden="false" customHeight="false" outlineLevel="0" collapsed="false">
      <c r="A310" s="9" t="s">
        <v>445</v>
      </c>
      <c r="B310" s="10" t="n">
        <v>8</v>
      </c>
      <c r="C310" s="11" t="n">
        <v>3600</v>
      </c>
      <c r="D310" s="10" t="s">
        <v>2</v>
      </c>
      <c r="E310" s="9" t="s">
        <v>143</v>
      </c>
      <c r="F310" s="9" t="s">
        <v>183</v>
      </c>
      <c r="G310" s="12" t="s">
        <v>28</v>
      </c>
      <c r="H310" s="9"/>
    </row>
    <row r="311" customFormat="false" ht="15" hidden="false" customHeight="false" outlineLevel="0" collapsed="false">
      <c r="A311" s="9" t="s">
        <v>446</v>
      </c>
      <c r="B311" s="10" t="n">
        <v>9</v>
      </c>
      <c r="C311" s="11" t="n">
        <v>4050</v>
      </c>
      <c r="D311" s="10" t="s">
        <v>2</v>
      </c>
      <c r="E311" s="9" t="s">
        <v>128</v>
      </c>
      <c r="F311" s="9" t="s">
        <v>27</v>
      </c>
      <c r="G311" s="12" t="s">
        <v>28</v>
      </c>
      <c r="H311" s="9" t="s">
        <v>442</v>
      </c>
    </row>
    <row r="312" customFormat="false" ht="15" hidden="false" customHeight="false" outlineLevel="0" collapsed="false">
      <c r="A312" s="9" t="s">
        <v>447</v>
      </c>
      <c r="B312" s="10" t="n">
        <v>9</v>
      </c>
      <c r="C312" s="11" t="n">
        <v>4050</v>
      </c>
      <c r="D312" s="10" t="s">
        <v>2</v>
      </c>
      <c r="E312" s="9" t="s">
        <v>128</v>
      </c>
      <c r="F312" s="9" t="s">
        <v>183</v>
      </c>
      <c r="G312" s="12" t="s">
        <v>28</v>
      </c>
      <c r="H312" s="9" t="s">
        <v>442</v>
      </c>
    </row>
    <row r="313" customFormat="false" ht="15" hidden="false" customHeight="false" outlineLevel="0" collapsed="false">
      <c r="A313" s="9" t="s">
        <v>448</v>
      </c>
      <c r="B313" s="10" t="n">
        <v>9</v>
      </c>
      <c r="C313" s="11" t="n">
        <v>4050</v>
      </c>
      <c r="D313" s="10" t="s">
        <v>2</v>
      </c>
      <c r="E313" s="9" t="s">
        <v>143</v>
      </c>
      <c r="F313" s="9" t="s">
        <v>183</v>
      </c>
      <c r="G313" s="12" t="s">
        <v>28</v>
      </c>
      <c r="H313" s="9"/>
    </row>
  </sheetData>
  <autoFilter ref="A1:H313"/>
  <hyperlinks>
    <hyperlink ref="G2" r:id="rId1" display="View"/>
    <hyperlink ref="G3" r:id="rId2" display="View"/>
    <hyperlink ref="G4" r:id="rId3" display="View"/>
    <hyperlink ref="G5" r:id="rId4" display="View"/>
    <hyperlink ref="G6" r:id="rId5" display="View"/>
    <hyperlink ref="G7" r:id="rId6" display="View"/>
    <hyperlink ref="G8" r:id="rId7" display="View"/>
    <hyperlink ref="G9" r:id="rId8" display="View"/>
    <hyperlink ref="G10" r:id="rId9" display="View"/>
    <hyperlink ref="G11" r:id="rId10" display="View"/>
    <hyperlink ref="G12" r:id="rId11" display="View"/>
    <hyperlink ref="G13" r:id="rId12" display="View"/>
    <hyperlink ref="G14" r:id="rId13" display="View"/>
    <hyperlink ref="G15" r:id="rId14" display="View"/>
    <hyperlink ref="G16" r:id="rId15" display="View"/>
    <hyperlink ref="G17" r:id="rId16" display="View"/>
    <hyperlink ref="G18" r:id="rId17" display="View"/>
    <hyperlink ref="G19" r:id="rId18" display="View"/>
    <hyperlink ref="G20" r:id="rId19" display="View"/>
    <hyperlink ref="G21" r:id="rId20" display="View"/>
    <hyperlink ref="G22" r:id="rId21" display="View"/>
    <hyperlink ref="G23" r:id="rId22" display="View"/>
    <hyperlink ref="G24" r:id="rId23" display="View"/>
    <hyperlink ref="G25" r:id="rId24" display="View"/>
    <hyperlink ref="G26" r:id="rId25" display="View"/>
    <hyperlink ref="G27" r:id="rId26" display="View"/>
    <hyperlink ref="G28" r:id="rId27" display="View"/>
    <hyperlink ref="G29" r:id="rId28" display="View"/>
    <hyperlink ref="G30" r:id="rId29" display="View"/>
    <hyperlink ref="G31" r:id="rId30" display="View"/>
    <hyperlink ref="G32" r:id="rId31" display="View"/>
    <hyperlink ref="G33" r:id="rId32" display="View"/>
    <hyperlink ref="G34" r:id="rId33" display="View"/>
    <hyperlink ref="G35" r:id="rId34" display="View"/>
    <hyperlink ref="G36" r:id="rId35" display="View"/>
    <hyperlink ref="G37" r:id="rId36" display="View"/>
    <hyperlink ref="G38" r:id="rId37" display="View"/>
    <hyperlink ref="G39" r:id="rId38" display="View"/>
    <hyperlink ref="G40" r:id="rId39" display="View"/>
    <hyperlink ref="G41" r:id="rId40" display="View"/>
    <hyperlink ref="G42" r:id="rId41" display="View"/>
    <hyperlink ref="G43" r:id="rId42" display="View"/>
    <hyperlink ref="G44" r:id="rId43" display="View"/>
    <hyperlink ref="G45" r:id="rId44" display="View"/>
    <hyperlink ref="G46" r:id="rId45" display="View"/>
    <hyperlink ref="G47" r:id="rId46" display="View"/>
    <hyperlink ref="G48" r:id="rId47" display="View"/>
    <hyperlink ref="G49" r:id="rId48" display="View"/>
    <hyperlink ref="G50" r:id="rId49" display="View"/>
    <hyperlink ref="G51" r:id="rId50" display="View"/>
    <hyperlink ref="G52" r:id="rId51" display="View"/>
    <hyperlink ref="G53" r:id="rId52" display="View"/>
    <hyperlink ref="G54" r:id="rId53" display="View"/>
    <hyperlink ref="G55" r:id="rId54" display="View"/>
    <hyperlink ref="G56" r:id="rId55" display="View"/>
    <hyperlink ref="G57" r:id="rId56" display="View"/>
    <hyperlink ref="G58" r:id="rId57" display="View"/>
    <hyperlink ref="G59" r:id="rId58" display="View"/>
    <hyperlink ref="G60" r:id="rId59" display="View"/>
    <hyperlink ref="G61" r:id="rId60" display="View"/>
    <hyperlink ref="G62" r:id="rId61" display="View"/>
    <hyperlink ref="G63" r:id="rId62" display="View"/>
    <hyperlink ref="G64" r:id="rId63" display="View"/>
    <hyperlink ref="G65" r:id="rId64" display="View"/>
    <hyperlink ref="G66" r:id="rId65" display="View"/>
    <hyperlink ref="G67" r:id="rId66" display="View"/>
    <hyperlink ref="G68" r:id="rId67" display="View"/>
    <hyperlink ref="G69" r:id="rId68" display="View"/>
    <hyperlink ref="G70" r:id="rId69" display="View"/>
    <hyperlink ref="G71" r:id="rId70" display="View"/>
    <hyperlink ref="G72" r:id="rId71" display="View"/>
    <hyperlink ref="G73" r:id="rId72" display="View"/>
    <hyperlink ref="G74" r:id="rId73" display="View"/>
    <hyperlink ref="G75" r:id="rId74" display="View"/>
    <hyperlink ref="G76" r:id="rId75" display="View"/>
    <hyperlink ref="G77" r:id="rId76" display="View"/>
    <hyperlink ref="G78" r:id="rId77" display="View"/>
    <hyperlink ref="G79" r:id="rId78" display="View"/>
    <hyperlink ref="G80" r:id="rId79" display="View"/>
    <hyperlink ref="G81" r:id="rId80" display="View"/>
    <hyperlink ref="G82" r:id="rId81" display="View"/>
    <hyperlink ref="G83" r:id="rId82" display="View"/>
    <hyperlink ref="G84" r:id="rId83" display="View"/>
    <hyperlink ref="G85" r:id="rId84" display="View"/>
    <hyperlink ref="G86" r:id="rId85" display="View"/>
    <hyperlink ref="G87" r:id="rId86" display="View"/>
    <hyperlink ref="G88" r:id="rId87" display="View"/>
    <hyperlink ref="G89" r:id="rId88" display="View"/>
    <hyperlink ref="G90" r:id="rId89" display="View"/>
    <hyperlink ref="G91" r:id="rId90" display="View"/>
    <hyperlink ref="G92" r:id="rId91" display="View"/>
    <hyperlink ref="G93" r:id="rId92" display="View"/>
    <hyperlink ref="G94" r:id="rId93" display="View"/>
    <hyperlink ref="G95" r:id="rId94" display="View"/>
    <hyperlink ref="G96" r:id="rId95" display="View"/>
    <hyperlink ref="G97" r:id="rId96" display="View"/>
    <hyperlink ref="G98" r:id="rId97" display="View"/>
    <hyperlink ref="G99" r:id="rId98" display="View"/>
    <hyperlink ref="G100" r:id="rId99" display="View"/>
    <hyperlink ref="G101" r:id="rId100" display="View"/>
    <hyperlink ref="G102" r:id="rId101" display="View"/>
    <hyperlink ref="G103" r:id="rId102" display="View"/>
    <hyperlink ref="G104" r:id="rId103" display="View"/>
    <hyperlink ref="G105" r:id="rId104" display="View"/>
    <hyperlink ref="G106" r:id="rId105" display="View"/>
    <hyperlink ref="G107" r:id="rId106" display="View"/>
    <hyperlink ref="G108" r:id="rId107" display="View"/>
    <hyperlink ref="G109" r:id="rId108" display="View"/>
    <hyperlink ref="G110" r:id="rId109" display="View"/>
    <hyperlink ref="G111" r:id="rId110" display="View"/>
    <hyperlink ref="G112" r:id="rId111" display="View"/>
    <hyperlink ref="G113" r:id="rId112" display="View"/>
    <hyperlink ref="G114" r:id="rId113" display="View"/>
    <hyperlink ref="G115" r:id="rId114" display="View"/>
    <hyperlink ref="G116" r:id="rId115" display="View"/>
    <hyperlink ref="G117" r:id="rId116" display="View"/>
    <hyperlink ref="G118" r:id="rId117" display="View"/>
    <hyperlink ref="G119" r:id="rId118" display="View"/>
    <hyperlink ref="G120" r:id="rId119" display="View"/>
    <hyperlink ref="G121" r:id="rId120" display="View"/>
    <hyperlink ref="G122" r:id="rId121" display="View"/>
    <hyperlink ref="G123" r:id="rId122" display="View"/>
    <hyperlink ref="G124" r:id="rId123" display="View"/>
    <hyperlink ref="G125" r:id="rId124" display="View"/>
    <hyperlink ref="G126" r:id="rId125" display="View"/>
    <hyperlink ref="G127" r:id="rId126" display="View"/>
    <hyperlink ref="G128" r:id="rId127" display="View"/>
    <hyperlink ref="G129" r:id="rId128" display="View"/>
    <hyperlink ref="G130" r:id="rId129" display="View"/>
    <hyperlink ref="G131" r:id="rId130" display="View"/>
    <hyperlink ref="G132" r:id="rId131" display="View"/>
    <hyperlink ref="G133" r:id="rId132" display="View"/>
    <hyperlink ref="G134" r:id="rId133" display="View"/>
    <hyperlink ref="G135" r:id="rId134" display="View"/>
    <hyperlink ref="G136" r:id="rId135" display="View"/>
    <hyperlink ref="G137" r:id="rId136" display="View"/>
    <hyperlink ref="G138" r:id="rId137" display="View"/>
    <hyperlink ref="G139" r:id="rId138" display="View"/>
    <hyperlink ref="G140" r:id="rId139" display="View"/>
    <hyperlink ref="G141" r:id="rId140" display="View"/>
    <hyperlink ref="G142" r:id="rId141" display="View"/>
    <hyperlink ref="G143" r:id="rId142" display="View"/>
    <hyperlink ref="G144" r:id="rId143" display="View"/>
    <hyperlink ref="G145" r:id="rId144" display="View"/>
    <hyperlink ref="G146" r:id="rId145" display="View"/>
    <hyperlink ref="G147" r:id="rId146" display="View"/>
    <hyperlink ref="G148" r:id="rId147" display="View"/>
    <hyperlink ref="G149" r:id="rId148" display="View"/>
    <hyperlink ref="G150" r:id="rId149" display="View"/>
    <hyperlink ref="G151" r:id="rId150" display="View"/>
    <hyperlink ref="G152" r:id="rId151" display="View"/>
    <hyperlink ref="G153" r:id="rId152" display="View"/>
    <hyperlink ref="G154" r:id="rId153" display="View"/>
    <hyperlink ref="G155" r:id="rId154" display="View"/>
    <hyperlink ref="G156" r:id="rId155" display="View"/>
    <hyperlink ref="G157" r:id="rId156" display="View"/>
    <hyperlink ref="G158" r:id="rId157" display="View"/>
    <hyperlink ref="G159" r:id="rId158" display="View"/>
    <hyperlink ref="G160" r:id="rId159" display="View"/>
    <hyperlink ref="G161" r:id="rId160" display="View"/>
    <hyperlink ref="G162" r:id="rId161" display="View"/>
    <hyperlink ref="G163" r:id="rId162" display="View"/>
    <hyperlink ref="G164" r:id="rId163" display="View"/>
    <hyperlink ref="G165" r:id="rId164" display="View"/>
    <hyperlink ref="G166" r:id="rId165" display="View"/>
    <hyperlink ref="G167" r:id="rId166" display="View"/>
    <hyperlink ref="G168" r:id="rId167" display="View"/>
    <hyperlink ref="G169" r:id="rId168" display="View"/>
    <hyperlink ref="G170" r:id="rId169" display="View"/>
    <hyperlink ref="G171" r:id="rId170" display="View"/>
    <hyperlink ref="G172" r:id="rId171" display="View"/>
    <hyperlink ref="G173" r:id="rId172" display="View"/>
    <hyperlink ref="G174" r:id="rId173" display="View"/>
    <hyperlink ref="G175" r:id="rId174" display="View"/>
    <hyperlink ref="G176" r:id="rId175" display="View"/>
    <hyperlink ref="G177" r:id="rId176" display="View"/>
    <hyperlink ref="G178" r:id="rId177" display="View"/>
    <hyperlink ref="G179" r:id="rId178" display="View"/>
    <hyperlink ref="G180" r:id="rId179" display="View"/>
    <hyperlink ref="G181" r:id="rId180" display="View"/>
    <hyperlink ref="G182" r:id="rId181" display="View"/>
    <hyperlink ref="G183" r:id="rId182" display="View"/>
    <hyperlink ref="G184" r:id="rId183" display="View"/>
    <hyperlink ref="G185" r:id="rId184" display="View"/>
    <hyperlink ref="G186" r:id="rId185" display="View"/>
    <hyperlink ref="G187" r:id="rId186" display="View"/>
    <hyperlink ref="G188" r:id="rId187" display="View"/>
    <hyperlink ref="G189" r:id="rId188" display="View"/>
    <hyperlink ref="G190" r:id="rId189" display="View"/>
    <hyperlink ref="G191" r:id="rId190" display="View"/>
    <hyperlink ref="G192" r:id="rId191" display="View"/>
    <hyperlink ref="G193" r:id="rId192" display="View"/>
    <hyperlink ref="G194" r:id="rId193" display="View"/>
    <hyperlink ref="G195" r:id="rId194" display="View"/>
    <hyperlink ref="G196" r:id="rId195" display="View"/>
    <hyperlink ref="G197" r:id="rId196" display="View"/>
    <hyperlink ref="G198" r:id="rId197" display="View"/>
    <hyperlink ref="G199" r:id="rId198" display="View"/>
    <hyperlink ref="G200" r:id="rId199" display="View"/>
    <hyperlink ref="G201" r:id="rId200" display="View"/>
    <hyperlink ref="G202" r:id="rId201" display="View"/>
    <hyperlink ref="G203" r:id="rId202" display="View"/>
    <hyperlink ref="G204" r:id="rId203" display="View"/>
    <hyperlink ref="G205" r:id="rId204" display="View"/>
    <hyperlink ref="G206" r:id="rId205" display="View"/>
    <hyperlink ref="G207" r:id="rId206" display="View"/>
    <hyperlink ref="G208" r:id="rId207" display="View"/>
    <hyperlink ref="G209" r:id="rId208" display="View"/>
    <hyperlink ref="G210" r:id="rId209" display="View"/>
    <hyperlink ref="G211" r:id="rId210" display="View"/>
    <hyperlink ref="G212" r:id="rId211" display="View"/>
    <hyperlink ref="G213" r:id="rId212" display="View"/>
    <hyperlink ref="G214" r:id="rId213" display="View"/>
    <hyperlink ref="G215" r:id="rId214" display="View"/>
    <hyperlink ref="G216" r:id="rId215" display="View"/>
    <hyperlink ref="G217" r:id="rId216" display="View"/>
    <hyperlink ref="G218" r:id="rId217" display="View"/>
    <hyperlink ref="G219" r:id="rId218" display="View"/>
    <hyperlink ref="G220" r:id="rId219" display="View"/>
    <hyperlink ref="G221" r:id="rId220" display="View"/>
    <hyperlink ref="G222" r:id="rId221" display="View"/>
    <hyperlink ref="G223" r:id="rId222" display="View"/>
    <hyperlink ref="G224" r:id="rId223" display="View"/>
    <hyperlink ref="G225" r:id="rId224" display="View"/>
    <hyperlink ref="G226" r:id="rId225" display="View"/>
    <hyperlink ref="G227" r:id="rId226" display="View"/>
    <hyperlink ref="G228" r:id="rId227" display="View"/>
    <hyperlink ref="G229" r:id="rId228" display="View"/>
    <hyperlink ref="G230" r:id="rId229" display="View"/>
    <hyperlink ref="G231" r:id="rId230" display="View"/>
    <hyperlink ref="G232" r:id="rId231" display="View"/>
    <hyperlink ref="G233" r:id="rId232" display="View"/>
    <hyperlink ref="G234" r:id="rId233" display="View"/>
    <hyperlink ref="G235" r:id="rId234" display="View"/>
    <hyperlink ref="G236" r:id="rId235" display="View"/>
    <hyperlink ref="G237" r:id="rId236" display="View"/>
    <hyperlink ref="G238" r:id="rId237" display="View"/>
    <hyperlink ref="G239" r:id="rId238" display="View"/>
    <hyperlink ref="G240" r:id="rId239" display="View"/>
    <hyperlink ref="G241" r:id="rId240" display="View"/>
    <hyperlink ref="G242" r:id="rId241" display="View"/>
    <hyperlink ref="G243" r:id="rId242" display="View"/>
    <hyperlink ref="G244" r:id="rId243" display="View"/>
    <hyperlink ref="G245" r:id="rId244" display="View"/>
    <hyperlink ref="G246" r:id="rId245" display="View"/>
    <hyperlink ref="G247" r:id="rId246" display="View"/>
    <hyperlink ref="G248" r:id="rId247" display="View"/>
    <hyperlink ref="G249" r:id="rId248" display="View"/>
    <hyperlink ref="G250" r:id="rId249" display="View"/>
    <hyperlink ref="G251" r:id="rId250" display="View"/>
    <hyperlink ref="G252" r:id="rId251" display="View"/>
    <hyperlink ref="G253" r:id="rId252" display="View"/>
    <hyperlink ref="G254" r:id="rId253" display="View"/>
    <hyperlink ref="G255" r:id="rId254" display="View"/>
    <hyperlink ref="G256" r:id="rId255" display="View"/>
    <hyperlink ref="G257" r:id="rId256" display="View"/>
    <hyperlink ref="G258" r:id="rId257" display="View"/>
    <hyperlink ref="G259" r:id="rId258" display="View"/>
    <hyperlink ref="G260" r:id="rId259" display="View"/>
    <hyperlink ref="G261" r:id="rId260" display="View"/>
    <hyperlink ref="G262" r:id="rId261" display="View"/>
    <hyperlink ref="G263" r:id="rId262" display="View"/>
    <hyperlink ref="G264" r:id="rId263" display="View"/>
    <hyperlink ref="G265" r:id="rId264" display="View"/>
    <hyperlink ref="G266" r:id="rId265" display="View"/>
    <hyperlink ref="G267" r:id="rId266" display="View"/>
    <hyperlink ref="G268" r:id="rId267" display="View"/>
    <hyperlink ref="G269" r:id="rId268" display="View"/>
    <hyperlink ref="G270" r:id="rId269" display="View"/>
    <hyperlink ref="G271" r:id="rId270" display="View"/>
    <hyperlink ref="G272" r:id="rId271" display="View"/>
    <hyperlink ref="G273" r:id="rId272" display="View"/>
    <hyperlink ref="G274" r:id="rId273" display="View"/>
    <hyperlink ref="G275" r:id="rId274" display="View"/>
    <hyperlink ref="G276" r:id="rId275" display="View"/>
    <hyperlink ref="G277" r:id="rId276" display="View"/>
    <hyperlink ref="G278" r:id="rId277" display="View"/>
    <hyperlink ref="G279" r:id="rId278" display="View"/>
    <hyperlink ref="G280" r:id="rId279" display="View"/>
    <hyperlink ref="G281" r:id="rId280" display="View"/>
    <hyperlink ref="G282" r:id="rId281" display="View"/>
    <hyperlink ref="G283" r:id="rId282" display="View"/>
    <hyperlink ref="G284" r:id="rId283" display="View"/>
    <hyperlink ref="G285" r:id="rId284" display="View"/>
    <hyperlink ref="G286" r:id="rId285" display="View"/>
    <hyperlink ref="G287" r:id="rId286" display="View"/>
    <hyperlink ref="G288" r:id="rId287" display="View"/>
    <hyperlink ref="G289" r:id="rId288" display="View"/>
    <hyperlink ref="G290" r:id="rId289" display="View"/>
    <hyperlink ref="G291" r:id="rId290" display="View"/>
    <hyperlink ref="G292" r:id="rId291" display="View"/>
    <hyperlink ref="G293" r:id="rId292" display="View"/>
    <hyperlink ref="G294" r:id="rId293" display="View"/>
    <hyperlink ref="G295" r:id="rId294" display="View"/>
    <hyperlink ref="G296" r:id="rId295" display="View"/>
    <hyperlink ref="G297" r:id="rId296" display="View"/>
    <hyperlink ref="G298" r:id="rId297" display="View"/>
    <hyperlink ref="G299" r:id="rId298" display="View"/>
    <hyperlink ref="G300" r:id="rId299" display="View"/>
    <hyperlink ref="G301" r:id="rId300" display="View"/>
    <hyperlink ref="G302" r:id="rId301" display="View"/>
    <hyperlink ref="G303" r:id="rId302" display="View"/>
    <hyperlink ref="G304" r:id="rId303" display="View"/>
    <hyperlink ref="G305" r:id="rId304" display="View"/>
    <hyperlink ref="G306" r:id="rId305" display="View"/>
    <hyperlink ref="G307" r:id="rId306" display="View"/>
    <hyperlink ref="G308" r:id="rId307" display="View"/>
    <hyperlink ref="G309" r:id="rId308" display="View"/>
    <hyperlink ref="G310" r:id="rId309" display="View"/>
    <hyperlink ref="G311" r:id="rId310" display="View"/>
    <hyperlink ref="G312" r:id="rId311" display="View"/>
    <hyperlink ref="G313" r:id="rId312" display="Vie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1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2026-10-19T15:17:07Z</dcterms:created>
  <dc:creator>openpyxl</dc:creator>
  <dc:description/>
  <dc:language>en-US</dc:language>
  <cp:lastModifiedBy/>
  <dcterms:modified xsi:type="dcterms:W3CDTF">2026-10-19T15:17:07Z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