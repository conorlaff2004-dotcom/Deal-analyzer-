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le Agreed" sheetId="1" state="visible" r:id="rId3"/>
    <sheet name="Averages" sheetId="2" state="visible" r:id="rId4"/>
    <sheet name="Notes" sheetId="3" state="visible" r:id="rId5"/>
  </sheets>
  <definedNames>
    <definedName function="false" hidden="true" localSheetId="0" name="_xlnm._FilterDatabase" vbProcedure="false">'Sale Agreed'!$A$1:$H$231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<sst xmlns="http://schemas.openxmlformats.org/spreadsheetml/2006/main" count="1447" uniqueCount="634">
  <si>
    <t xml:space="preserve">Full address</t>
  </si>
  <si>
    <t xml:space="preserve">Rooms</t>
  </si>
  <si>
    <t xml:space="preserve">Price (£)</t>
  </si>
  <si>
    <t xml:space="preserve">Area (BT)</t>
  </si>
  <si>
    <t xml:space="preserve">Sale agreed on</t>
  </si>
  <si>
    <t xml:space="preserve">Type</t>
  </si>
  <si>
    <t xml:space="preserve">Price basis</t>
  </si>
  <si>
    <t xml:space="preserve">PropertyPal link</t>
  </si>
  <si>
    <t xml:space="preserve">61 Jerusalem Street, Off University Road, Belfast, BT7 1QP</t>
  </si>
  <si>
    <t xml:space="preserve">BT7</t>
  </si>
  <si>
    <t xml:space="preserve">2026-08-03</t>
  </si>
  <si>
    <t xml:space="preserve">Terrace Houses</t>
  </si>
  <si>
    <t xml:space="preserve">Offers Around</t>
  </si>
  <si>
    <t xml:space="preserve">https://www.propertypal.com/1093809</t>
  </si>
  <si>
    <t xml:space="preserve">32 Salisbury Court, Dublin Road, Belfast, BT7 1DD</t>
  </si>
  <si>
    <t xml:space="preserve">2026-05-07</t>
  </si>
  <si>
    <t xml:space="preserve">Apartments</t>
  </si>
  <si>
    <t xml:space="preserve">Offers Over</t>
  </si>
  <si>
    <t xml:space="preserve">https://www.propertypal.com/1069515</t>
  </si>
  <si>
    <t xml:space="preserve">11 Ashburne Mews, Belfast, BT7 1SF</t>
  </si>
  <si>
    <t xml:space="preserve">2026-10-12</t>
  </si>
  <si>
    <t xml:space="preserve">Price</t>
  </si>
  <si>
    <t xml:space="preserve">https://www.propertypal.com/1078354</t>
  </si>
  <si>
    <t xml:space="preserve">43 Stewart Street, Belfast, BT7 2BT</t>
  </si>
  <si>
    <t xml:space="preserve">2026-09-24</t>
  </si>
  <si>
    <t xml:space="preserve">Asking Price</t>
  </si>
  <si>
    <t xml:space="preserve">https://www.propertypal.com/1113337</t>
  </si>
  <si>
    <t xml:space="preserve">2 Stanfield Place, Belfast, BT7 2DT</t>
  </si>
  <si>
    <t xml:space="preserve">2026-08-19</t>
  </si>
  <si>
    <t xml:space="preserve">https://www.propertypal.com/1015619</t>
  </si>
  <si>
    <t xml:space="preserve">54 Farnham Street, Ormeau Road, Belfast, BT7 2FN</t>
  </si>
  <si>
    <t xml:space="preserve">2026-10-14</t>
  </si>
  <si>
    <t xml:space="preserve">https://www.propertypal.com/1090001</t>
  </si>
  <si>
    <t xml:space="preserve">74 Salisbury Court, Belfast, BT7 1DD</t>
  </si>
  <si>
    <t xml:space="preserve">2026-09-23</t>
  </si>
  <si>
    <t xml:space="preserve">https://www.propertypal.com/1099635</t>
  </si>
  <si>
    <t xml:space="preserve">Apt 6 Nova Studios, 167 University Street, Belfast, BT7 1HR</t>
  </si>
  <si>
    <t xml:space="preserve">2026-10-05</t>
  </si>
  <si>
    <t xml:space="preserve">https://www.propertypal.com/1120458</t>
  </si>
  <si>
    <t xml:space="preserve">12a Pakenham Street, Belfast, BT7 1AB</t>
  </si>
  <si>
    <t xml:space="preserve">2026-06-29</t>
  </si>
  <si>
    <t xml:space="preserve">https://www.propertypal.com/1075460</t>
  </si>
  <si>
    <t xml:space="preserve">Apt 3 Carolan Place, 45 Rossmore Drive, Belfast, BT7 3LA</t>
  </si>
  <si>
    <t xml:space="preserve">2026-01-20</t>
  </si>
  <si>
    <t xml:space="preserve">https://www.propertypal.com/1049113</t>
  </si>
  <si>
    <t xml:space="preserve">113 Walmer Street, Belfast, BT7 3ED</t>
  </si>
  <si>
    <t xml:space="preserve">2026-04-23</t>
  </si>
  <si>
    <t xml:space="preserve">https://www.propertypal.com/1066516</t>
  </si>
  <si>
    <t xml:space="preserve">51 Blackwood Street, Ormeau Road, Belfast, BT7 3AS</t>
  </si>
  <si>
    <t xml:space="preserve">2026-05-22</t>
  </si>
  <si>
    <t xml:space="preserve">https://www.propertypal.com/1068953</t>
  </si>
  <si>
    <t xml:space="preserve">Apt 31, 48 Rossmore Drive, Belfast, BT7 3LA</t>
  </si>
  <si>
    <t xml:space="preserve">2026-09-14</t>
  </si>
  <si>
    <t xml:space="preserve">https://www.propertypal.com/1100227</t>
  </si>
  <si>
    <t xml:space="preserve">20 Baroda Street, Belfast, BT7 3AA</t>
  </si>
  <si>
    <t xml:space="preserve">2026-03-20</t>
  </si>
  <si>
    <t xml:space="preserve">https://www.propertypal.com/1059170</t>
  </si>
  <si>
    <t xml:space="preserve">53 Fernwood Street, Ormeau, Belfast, BT7 3BQ</t>
  </si>
  <si>
    <t xml:space="preserve">2026-07-27</t>
  </si>
  <si>
    <t xml:space="preserve">Mid-Terrace Houses</t>
  </si>
  <si>
    <t xml:space="preserve">https://www.propertypal.com/1068798</t>
  </si>
  <si>
    <t xml:space="preserve">77 Maryville Street, Belfast, BT7 1AE</t>
  </si>
  <si>
    <t xml:space="preserve">2026-09-15</t>
  </si>
  <si>
    <t xml:space="preserve">https://www.propertypal.com/1098384</t>
  </si>
  <si>
    <t xml:space="preserve">62 Jameson Street, Belfast, BT7 2GU</t>
  </si>
  <si>
    <t xml:space="preserve">2026-08-27</t>
  </si>
  <si>
    <t xml:space="preserve">https://www.propertypal.com/1095403</t>
  </si>
  <si>
    <t xml:space="preserve">7 Hampton Gardens, Belfast, BT7 3DF</t>
  </si>
  <si>
    <t xml:space="preserve">2026-09-22</t>
  </si>
  <si>
    <t xml:space="preserve">Maisonettes</t>
  </si>
  <si>
    <t xml:space="preserve">https://www.propertypal.com/1097968</t>
  </si>
  <si>
    <t xml:space="preserve">16 Baroda Street, Ormeau Road, Belfast, BT7 3AA</t>
  </si>
  <si>
    <t xml:space="preserve">2026-05-18</t>
  </si>
  <si>
    <t xml:space="preserve">https://www.propertypal.com/1072559</t>
  </si>
  <si>
    <t xml:space="preserve">31 Stewart Street, Belfast, BT7 2BT</t>
  </si>
  <si>
    <t xml:space="preserve">2026-07-16</t>
  </si>
  <si>
    <t xml:space="preserve">https://www.propertypal.com/1066411</t>
  </si>
  <si>
    <t xml:space="preserve">8 Ashburne Place, Belfast, BT7 1SE</t>
  </si>
  <si>
    <t xml:space="preserve">2026-08-08</t>
  </si>
  <si>
    <t xml:space="preserve">https://www.propertypal.com/1041323</t>
  </si>
  <si>
    <t xml:space="preserve">13 Parkmore Street, Belfast, BT7 2GT</t>
  </si>
  <si>
    <t xml:space="preserve">End-Terrace Houses</t>
  </si>
  <si>
    <t xml:space="preserve">https://www.propertypal.com/1076123</t>
  </si>
  <si>
    <t xml:space="preserve">58 Walmer Street, Belfast, BT7 3EB</t>
  </si>
  <si>
    <t xml:space="preserve">2026-02-27</t>
  </si>
  <si>
    <t xml:space="preserve">Townhouses</t>
  </si>
  <si>
    <t xml:space="preserve">https://www.propertypal.com/1057940</t>
  </si>
  <si>
    <t xml:space="preserve">Apt 2 Carolan Place, 45 Rossmore Drive, Ormeau, Belfast, BT7 3LA</t>
  </si>
  <si>
    <t xml:space="preserve">2026-10-08</t>
  </si>
  <si>
    <t xml:space="preserve">https://www.propertypal.com/1098758</t>
  </si>
  <si>
    <t xml:space="preserve">Apt 7, 1a Rosetta Avenue, Ormeau, Belfast, BT7 3HG</t>
  </si>
  <si>
    <t xml:space="preserve">2026-10-19</t>
  </si>
  <si>
    <t xml:space="preserve">Apartment / Flats</t>
  </si>
  <si>
    <t xml:space="preserve">https://www.propertypal.com/1100859</t>
  </si>
  <si>
    <t xml:space="preserve">44 Walmer Street, Belfast, BT7 3EB</t>
  </si>
  <si>
    <t xml:space="preserve">2026-07-31</t>
  </si>
  <si>
    <t xml:space="preserve">https://www.propertypal.com/1054461</t>
  </si>
  <si>
    <t xml:space="preserve">6 Hampton Drive, Belfast, BT7 3DE</t>
  </si>
  <si>
    <t xml:space="preserve">2026-07-30</t>
  </si>
  <si>
    <t xml:space="preserve">https://www.propertypal.com/1088026</t>
  </si>
  <si>
    <t xml:space="preserve">10 The Hull Building, Belfast, BT7 3NE</t>
  </si>
  <si>
    <t xml:space="preserve">1st Floor Apartments</t>
  </si>
  <si>
    <t xml:space="preserve">https://www.propertypal.com/1097931</t>
  </si>
  <si>
    <t xml:space="preserve">43 The Stern Building, 37 Annadale Crescent, Belfast, BT7 3NF</t>
  </si>
  <si>
    <t xml:space="preserve">https://www.propertypal.com/1085450</t>
  </si>
  <si>
    <t xml:space="preserve">Apt 1 Earlstown Mews, 12 Annadale Avenue, Belfast, BT7 3JH</t>
  </si>
  <si>
    <t xml:space="preserve">2026-09-09</t>
  </si>
  <si>
    <t xml:space="preserve">https://www.propertypal.com/1099308</t>
  </si>
  <si>
    <t xml:space="preserve">Apt 12 The Oar, 31 Annadale Crescent, Annadale Avenue, Belfast, BT7 3NB</t>
  </si>
  <si>
    <t xml:space="preserve">2026-05-14</t>
  </si>
  <si>
    <t xml:space="preserve">https://www.propertypal.com/1068073</t>
  </si>
  <si>
    <t xml:space="preserve">12 The Hull Building, Belfast, BT7 3NE</t>
  </si>
  <si>
    <t xml:space="preserve">https://www.propertypal.com/1110515</t>
  </si>
  <si>
    <t xml:space="preserve">34 The Oar, The Embankment, Belfast, BT7 3NB</t>
  </si>
  <si>
    <t xml:space="preserve">2026-06-11</t>
  </si>
  <si>
    <t xml:space="preserve">https://www.propertypal.com/1077179</t>
  </si>
  <si>
    <t xml:space="preserve">21 Meadow House, 47 The Boulevard, Belfast, BT7 3LN</t>
  </si>
  <si>
    <t xml:space="preserve">https://www.propertypal.com/1047930</t>
  </si>
  <si>
    <t xml:space="preserve">107 Rushfield Avenue, Belfast, BT7 3FR</t>
  </si>
  <si>
    <t xml:space="preserve">2026-07-10</t>
  </si>
  <si>
    <t xml:space="preserve">Semi-Detached Houses</t>
  </si>
  <si>
    <t xml:space="preserve">https://www.propertypal.com/1083460</t>
  </si>
  <si>
    <t xml:space="preserve">Apartment 10 College House 2 College Drive, Belfast, BT7 3LF</t>
  </si>
  <si>
    <t xml:space="preserve">2026-08-28</t>
  </si>
  <si>
    <t xml:space="preserve">https://www.propertypal.com/1089851</t>
  </si>
  <si>
    <t xml:space="preserve">Apt 5 Meadow House, 47 The Boulevard, Belfast, BT7 3LN</t>
  </si>
  <si>
    <t xml:space="preserve">2026-10-16</t>
  </si>
  <si>
    <t xml:space="preserve">https://www.propertypal.com/1124863</t>
  </si>
  <si>
    <t xml:space="preserve">35 Ava Avenue, Belfast, BT7 3BP</t>
  </si>
  <si>
    <t xml:space="preserve">2026-07-22</t>
  </si>
  <si>
    <t xml:space="preserve">https://www.propertypal.com/1084861</t>
  </si>
  <si>
    <t xml:space="preserve">13 Ava Drive, Sunnyside Street, Belfast, BT7 3DW</t>
  </si>
  <si>
    <t xml:space="preserve">2026-08-06</t>
  </si>
  <si>
    <t xml:space="preserve">https://www.propertypal.com/1091042</t>
  </si>
  <si>
    <t xml:space="preserve">Apt 5.03 Portland, 88 55 Ormeau Road, Belfast, BT7 1FE</t>
  </si>
  <si>
    <t xml:space="preserve">2026-09-07</t>
  </si>
  <si>
    <t xml:space="preserve">https://www.propertypal.com/1080995</t>
  </si>
  <si>
    <t xml:space="preserve">Apt 4 Elm House, 2 Beech Heights, Wellington Square, Belfast, BT7 3LQ</t>
  </si>
  <si>
    <t xml:space="preserve">2026-06-15</t>
  </si>
  <si>
    <t xml:space="preserve">https://www.propertypal.com/1078793</t>
  </si>
  <si>
    <t xml:space="preserve">25 Haywood Avenue, Belfast, BT7 3EU</t>
  </si>
  <si>
    <t xml:space="preserve">2026-09-18</t>
  </si>
  <si>
    <t xml:space="preserve">https://www.propertypal.com/1064691</t>
  </si>
  <si>
    <t xml:space="preserve">704 Portland, 88 55 Ormeau Road, Belfast, BT7 1FE</t>
  </si>
  <si>
    <t xml:space="preserve">https://www.propertypal.com/1091177</t>
  </si>
  <si>
    <t xml:space="preserve">Flat 6 Rosetta Court, 366-368 Ormeau Road, Belfast, BT7 3HW</t>
  </si>
  <si>
    <t xml:space="preserve">2026-09-30</t>
  </si>
  <si>
    <t xml:space="preserve">https://www.propertypal.com/1106276</t>
  </si>
  <si>
    <t xml:space="preserve">2 Stranmillis Reach, Belfast, BT7 1QZ</t>
  </si>
  <si>
    <t xml:space="preserve">2026-08-14</t>
  </si>
  <si>
    <t xml:space="preserve">https://www.propertypal.com/1085236</t>
  </si>
  <si>
    <t xml:space="preserve">Apt 2.01 Portland, 88 55 Ormeau Road, Belfast, BT7 1FD</t>
  </si>
  <si>
    <t xml:space="preserve">https://www.propertypal.com/1012572</t>
  </si>
  <si>
    <t xml:space="preserve">61 Rushfield Avenue, Ormeau Road, Belfast, BT7 3FP</t>
  </si>
  <si>
    <t xml:space="preserve">https://www.propertypal.com/1121813</t>
  </si>
  <si>
    <t xml:space="preserve">116 The Bakery, 311 Ormeau Road, Belfast, BT7 3GA</t>
  </si>
  <si>
    <t xml:space="preserve">2026-08-24</t>
  </si>
  <si>
    <t xml:space="preserve">https://www.propertypal.com/1080539</t>
  </si>
  <si>
    <t xml:space="preserve">301 The Bakery, Belfast, BT7 3GB</t>
  </si>
  <si>
    <t xml:space="preserve">2026-06-01</t>
  </si>
  <si>
    <t xml:space="preserve">Price from</t>
  </si>
  <si>
    <t xml:space="preserve">https://www.propertypal.com/1075652</t>
  </si>
  <si>
    <t xml:space="preserve">326 The Bakery, Belfast, BT7 3GB</t>
  </si>
  <si>
    <t xml:space="preserve">2026-05-01</t>
  </si>
  <si>
    <t xml:space="preserve">https://www.propertypal.com/1070005</t>
  </si>
  <si>
    <t xml:space="preserve">Apt 1 Acorn Hill, 9a Annadale Avenue, Belfast, BT7 3JH</t>
  </si>
  <si>
    <t xml:space="preserve">2026-09-25</t>
  </si>
  <si>
    <t xml:space="preserve">https://www.propertypal.com/1088489</t>
  </si>
  <si>
    <t xml:space="preserve">22 Rosetta Drive, Upper Ormeau, Belfast, BT7 3HL</t>
  </si>
  <si>
    <t xml:space="preserve">2026-06-26</t>
  </si>
  <si>
    <t xml:space="preserve">https://www.propertypal.com/1077705</t>
  </si>
  <si>
    <t xml:space="preserve">76 Palestine Street, Belfast, BT7 1QL</t>
  </si>
  <si>
    <t xml:space="preserve">2026-06-18</t>
  </si>
  <si>
    <t xml:space="preserve">https://www.propertypal.com/1081343</t>
  </si>
  <si>
    <t xml:space="preserve">33 Cairo Street, Holylands, Belfast, BT7 1QS</t>
  </si>
  <si>
    <t xml:space="preserve">https://www.propertypal.com/1098057</t>
  </si>
  <si>
    <t xml:space="preserve">15 Fitzwilliam Square, Belfast, BT7 1JH</t>
  </si>
  <si>
    <t xml:space="preserve">https://www.propertypal.com/1098884</t>
  </si>
  <si>
    <t xml:space="preserve">1 Annadale Crescent, Belfast, BT7 3DF</t>
  </si>
  <si>
    <t xml:space="preserve">2025-11-13</t>
  </si>
  <si>
    <t xml:space="preserve">https://www.propertypal.com/1047124</t>
  </si>
  <si>
    <t xml:space="preserve">33 Ava Park, Ormeau, Belfast, BT7 3BX</t>
  </si>
  <si>
    <t xml:space="preserve">https://www.propertypal.com/1096920</t>
  </si>
  <si>
    <t xml:space="preserve">Flat 27 Cromwell Court, 110 Cromwell Road, Belfast, BT7 1NE</t>
  </si>
  <si>
    <t xml:space="preserve">2026-06-25</t>
  </si>
  <si>
    <t xml:space="preserve">https://www.propertypal.com/1056877</t>
  </si>
  <si>
    <t xml:space="preserve">38 Kimberley Street, Belfast, BT7 3DY</t>
  </si>
  <si>
    <t xml:space="preserve">https://www.propertypal.com/1097041</t>
  </si>
  <si>
    <t xml:space="preserve">20 Apsley Street, Belfast, BT7 1BL</t>
  </si>
  <si>
    <t xml:space="preserve">2026-08-20</t>
  </si>
  <si>
    <t xml:space="preserve">https://www.propertypal.com/1093202</t>
  </si>
  <si>
    <t xml:space="preserve">27 Timbey Park, Ormeau, Belfast, BT7 3BT</t>
  </si>
  <si>
    <t xml:space="preserve">https://www.propertypal.com/1062918</t>
  </si>
  <si>
    <t xml:space="preserve">50 Fernwood Street, Belfast, BT7 3BQ</t>
  </si>
  <si>
    <t xml:space="preserve">2026-06-10</t>
  </si>
  <si>
    <t xml:space="preserve">https://www.propertypal.com/1076612</t>
  </si>
  <si>
    <t xml:space="preserve">6 Apsley Street, Belfast, BT7 1BL</t>
  </si>
  <si>
    <t xml:space="preserve">2026-09-10</t>
  </si>
  <si>
    <t xml:space="preserve">https://www.propertypal.com/1099248</t>
  </si>
  <si>
    <t xml:space="preserve">Apartment 10 Deramore Mews, Deramore Street, Belfast, BT7 3FS</t>
  </si>
  <si>
    <t xml:space="preserve">2026-07-17</t>
  </si>
  <si>
    <t xml:space="preserve">https://www.propertypal.com/1081018</t>
  </si>
  <si>
    <t xml:space="preserve">3 Annahill, 2 Annadale Ave, Belfast, BT7 3JH</t>
  </si>
  <si>
    <t xml:space="preserve">2026-08-21</t>
  </si>
  <si>
    <t xml:space="preserve">https://www.propertypal.com/1092007</t>
  </si>
  <si>
    <t xml:space="preserve">40 Ava Drive, Ormeau, Belfast, BT7 3DW</t>
  </si>
  <si>
    <t xml:space="preserve">2026-09-01</t>
  </si>
  <si>
    <t xml:space="preserve">https://www.propertypal.com/1098578</t>
  </si>
  <si>
    <t xml:space="preserve">51 Elgin St, Belfast, BT7 3AG</t>
  </si>
  <si>
    <t xml:space="preserve">https://www.propertypal.com/1094812</t>
  </si>
  <si>
    <t xml:space="preserve">9 Lindsay Court, Belfast, BT7 1AU</t>
  </si>
  <si>
    <t xml:space="preserve">https://www.propertypal.com/1085540</t>
  </si>
  <si>
    <t xml:space="preserve">25 Ava Street, Ormeau Road, Belfast, BT7 3BS</t>
  </si>
  <si>
    <t xml:space="preserve">https://www.propertypal.com/1082673</t>
  </si>
  <si>
    <t xml:space="preserve">2 Ava Parade, Ormeau, Belfast, BT7 3BU</t>
  </si>
  <si>
    <t xml:space="preserve">2026-09-11</t>
  </si>
  <si>
    <t xml:space="preserve">https://www.propertypal.com/1098476</t>
  </si>
  <si>
    <t xml:space="preserve">12 Hampton Place, Off Sunnyside Street, Belfast, BT7 3BZ</t>
  </si>
  <si>
    <t xml:space="preserve">2026-10-02</t>
  </si>
  <si>
    <t xml:space="preserve">https://www.propertypal.com/1095554</t>
  </si>
  <si>
    <t xml:space="preserve">6 Hampton Gardens, Belfast, BT7 3DF</t>
  </si>
  <si>
    <t xml:space="preserve">https://www.propertypal.com/1085244</t>
  </si>
  <si>
    <t xml:space="preserve">117 Kimberley Street, Ormeau, Belfast, BT7 3DZ</t>
  </si>
  <si>
    <t xml:space="preserve">2026-09-17</t>
  </si>
  <si>
    <t xml:space="preserve">https://www.propertypal.com/1099396</t>
  </si>
  <si>
    <t xml:space="preserve">67 Rushfield Avenue, Belfast, BT7 3FP</t>
  </si>
  <si>
    <t xml:space="preserve">https://www.propertypal.com/1085558</t>
  </si>
  <si>
    <t xml:space="preserve">33 Raby Street, Ormeau Road, Belfast, BT7 2GY</t>
  </si>
  <si>
    <t xml:space="preserve">2026-10-03</t>
  </si>
  <si>
    <t xml:space="preserve">https://www.propertypal.com/1083222</t>
  </si>
  <si>
    <t xml:space="preserve">Apartment 8 Oak House 30 Beech Heights, Belfast, BT7 3LQ</t>
  </si>
  <si>
    <t xml:space="preserve">2026-08-17</t>
  </si>
  <si>
    <t xml:space="preserve">https://www.propertypal.com/1085344</t>
  </si>
  <si>
    <t xml:space="preserve">10 Hampton Drive, Ormeau, Belfast, BT7 3DE</t>
  </si>
  <si>
    <t xml:space="preserve">2026-06-16</t>
  </si>
  <si>
    <t xml:space="preserve">https://www.propertypal.com/1072108</t>
  </si>
  <si>
    <t xml:space="preserve">16 Ardmore Avenue, Belfast, BT7 3HD</t>
  </si>
  <si>
    <t xml:space="preserve">2026-10-13</t>
  </si>
  <si>
    <t xml:space="preserve">https://www.propertypal.com/1111686</t>
  </si>
  <si>
    <t xml:space="preserve">40 Ailesbury Crescent, Belfast, BT7 3EZ</t>
  </si>
  <si>
    <t xml:space="preserve">https://www.propertypal.com/1113354</t>
  </si>
  <si>
    <t xml:space="preserve">16 Annadale Square, Belfast, BT7 3LT</t>
  </si>
  <si>
    <t xml:space="preserve">2026-09-04</t>
  </si>
  <si>
    <t xml:space="preserve">https://www.propertypal.com/1074996</t>
  </si>
  <si>
    <t xml:space="preserve">Apt 15 Bridge House, 9 Lagan Way, Wellington Square, Belfast, BT7 3LL</t>
  </si>
  <si>
    <t xml:space="preserve">2026-07-03</t>
  </si>
  <si>
    <t xml:space="preserve">Duplex Apartments</t>
  </si>
  <si>
    <t xml:space="preserve">https://www.propertypal.com/1082526</t>
  </si>
  <si>
    <t xml:space="preserve">31 Upper Courtyard, Annadale Avenue, Belfast, BT7 3LJ</t>
  </si>
  <si>
    <t xml:space="preserve">2026-08-12</t>
  </si>
  <si>
    <t xml:space="preserve">https://www.propertypal.com/1062169</t>
  </si>
  <si>
    <t xml:space="preserve">14 Haypark Avenue, Belfast, BT7 3FD</t>
  </si>
  <si>
    <t xml:space="preserve">2026-08-26</t>
  </si>
  <si>
    <t xml:space="preserve">https://www.propertypal.com/1094400</t>
  </si>
  <si>
    <t xml:space="preserve">43 Delhi Street, Ormeau Road, Belfast, BT7 3AL</t>
  </si>
  <si>
    <t xml:space="preserve">2026-06-30</t>
  </si>
  <si>
    <t xml:space="preserve">https://www.propertypal.com/1081623</t>
  </si>
  <si>
    <t xml:space="preserve">146 Haypark Avenue, Ormeau Road, Belfast, BT7 3FG</t>
  </si>
  <si>
    <t xml:space="preserve">https://www.propertypal.com/1096361</t>
  </si>
  <si>
    <t xml:space="preserve">3 X One Bed Apts, 34 North Parade, Belfast, BT7 2GG</t>
  </si>
  <si>
    <t xml:space="preserve">https://www.propertypal.com/1081558</t>
  </si>
  <si>
    <t xml:space="preserve">34 Shaftesbury Avenue, Belfast, BT7 2ES</t>
  </si>
  <si>
    <t xml:space="preserve">https://www.propertypal.com/1089152</t>
  </si>
  <si>
    <t xml:space="preserve">67 Damascus Street, Belfast, BT7 1QR</t>
  </si>
  <si>
    <t xml:space="preserve">2026-07-23</t>
  </si>
  <si>
    <t xml:space="preserve">https://www.propertypal.com/1084598</t>
  </si>
  <si>
    <t xml:space="preserve">11 Harrow Street, Belfast, BT7 1QG</t>
  </si>
  <si>
    <t xml:space="preserve">2026-08-05</t>
  </si>
  <si>
    <t xml:space="preserve">https://www.propertypal.com/1084859</t>
  </si>
  <si>
    <t xml:space="preserve">69 Palestine Street, Belfast, BT7 1QL</t>
  </si>
  <si>
    <t xml:space="preserve">https://www.propertypal.com/1103285</t>
  </si>
  <si>
    <t xml:space="preserve">41 Damascus Street, Belfast, BT7 1QQ</t>
  </si>
  <si>
    <t xml:space="preserve">https://www.propertypal.com/1098817</t>
  </si>
  <si>
    <t xml:space="preserve">63 Palestine Street, Belfast, BT7 1QL</t>
  </si>
  <si>
    <t xml:space="preserve">https://www.propertypal.com/1080835</t>
  </si>
  <si>
    <t xml:space="preserve">60 Kimberley Street, Off Ormeau Road, Belfast, BT7 3DY</t>
  </si>
  <si>
    <t xml:space="preserve">https://www.propertypal.com/1077035</t>
  </si>
  <si>
    <t xml:space="preserve">23 Cromwell Road, Belfast, BT7 1JW</t>
  </si>
  <si>
    <t xml:space="preserve">https://www.propertypal.com/1060883</t>
  </si>
  <si>
    <t xml:space="preserve">30 Candahar Street, Off Ormeau Road, Belfast, BT7 3AQ</t>
  </si>
  <si>
    <t xml:space="preserve">https://www.propertypal.com/1082403</t>
  </si>
  <si>
    <t xml:space="preserve">2 Rushfield Avenue, Ormeau Road, Belfast, BT7 3FP</t>
  </si>
  <si>
    <t xml:space="preserve">https://www.propertypal.com/1075870</t>
  </si>
  <si>
    <t xml:space="preserve">48 Candahar St, Belfast, BT7 3AR</t>
  </si>
  <si>
    <t xml:space="preserve">2026-08-30</t>
  </si>
  <si>
    <t xml:space="preserve">https://www.propertypal.com/1095134</t>
  </si>
  <si>
    <t xml:space="preserve">12B Annadale Avenue, Belfast, BT7 3JH</t>
  </si>
  <si>
    <t xml:space="preserve">2026-04-02</t>
  </si>
  <si>
    <t xml:space="preserve">https://www.propertypal.com/1062999</t>
  </si>
  <si>
    <t xml:space="preserve">69 Delhi Street, Belfast, BT7 3AL</t>
  </si>
  <si>
    <t xml:space="preserve">Houses</t>
  </si>
  <si>
    <t xml:space="preserve">https://www.propertypal.com/1072981</t>
  </si>
  <si>
    <t xml:space="preserve">45 Haypark Avenue, Belfast, BT7 3FD</t>
  </si>
  <si>
    <t xml:space="preserve">2026-07-21</t>
  </si>
  <si>
    <t xml:space="preserve">https://www.propertypal.com/1078856</t>
  </si>
  <si>
    <t xml:space="preserve">3 Rossmore Avenue, Belfast, BT7 3HB</t>
  </si>
  <si>
    <t xml:space="preserve">https://www.propertypal.com/1082608</t>
  </si>
  <si>
    <t xml:space="preserve">2B College Heights, Belfast, BT7 3LG</t>
  </si>
  <si>
    <t xml:space="preserve">https://www.propertypal.com/1056642</t>
  </si>
  <si>
    <t xml:space="preserve">123 University Street, University Area, Belfast, BT7 1HP</t>
  </si>
  <si>
    <t xml:space="preserve">https://www.propertypal.com/960835</t>
  </si>
  <si>
    <t xml:space="preserve">51 Candahar Street, Belfast, BT7 3AR</t>
  </si>
  <si>
    <t xml:space="preserve">2026-10-09</t>
  </si>
  <si>
    <t xml:space="preserve">https://www.propertypal.com/1061982</t>
  </si>
  <si>
    <t xml:space="preserve">19 Ardmore Avenue, Ormeau, Belfast, BT7 3HD</t>
  </si>
  <si>
    <t xml:space="preserve">https://www.propertypal.com/1096907</t>
  </si>
  <si>
    <t xml:space="preserve">38 College Park Avenue, Belfast, BT7 1LR</t>
  </si>
  <si>
    <t xml:space="preserve">https://www.propertypal.com/1066677</t>
  </si>
  <si>
    <t xml:space="preserve">31 South Parade, Belfast, BT7 2GL</t>
  </si>
  <si>
    <t xml:space="preserve">2026-09-03</t>
  </si>
  <si>
    <t xml:space="preserve">https://www.propertypal.com/1080979</t>
  </si>
  <si>
    <t xml:space="preserve">Daisyfield Villas, 76 South Parade, Ravenhill Road, Belfast, BT7 2GQ</t>
  </si>
  <si>
    <t xml:space="preserve">https://www.propertypal.com/1096674</t>
  </si>
  <si>
    <t xml:space="preserve">65 South Parade, Belfast, BT7 2GN</t>
  </si>
  <si>
    <t xml:space="preserve">Mid Townhouses</t>
  </si>
  <si>
    <t xml:space="preserve">https://www.propertypal.com/1083184</t>
  </si>
  <si>
    <t xml:space="preserve">15 University Avenue, Belfast, BT7 1GX</t>
  </si>
  <si>
    <t xml:space="preserve">2026-05-13</t>
  </si>
  <si>
    <t xml:space="preserve">https://www.propertypal.com/1059211</t>
  </si>
  <si>
    <t xml:space="preserve">33A &amp;, B Candahar Street, Belfast, BT7 3AR</t>
  </si>
  <si>
    <t xml:space="preserve">2026-04-21</t>
  </si>
  <si>
    <t xml:space="preserve">Apartmentses</t>
  </si>
  <si>
    <t xml:space="preserve">https://www.propertypal.com/808655</t>
  </si>
  <si>
    <t xml:space="preserve">63 Rugby Road, Belfast, BT7 1PT</t>
  </si>
  <si>
    <t xml:space="preserve">https://www.propertypal.com/1100919</t>
  </si>
  <si>
    <t xml:space="preserve">400 Ormeau Road, Belfast, BT7 3HY</t>
  </si>
  <si>
    <t xml:space="preserve">2026-06-22</t>
  </si>
  <si>
    <t xml:space="preserve">https://www.propertypal.com/1076768</t>
  </si>
  <si>
    <t xml:space="preserve">Flat 3, 663 Springfield Road, Belfast, BT12 7HD</t>
  </si>
  <si>
    <t xml:space="preserve">BT12</t>
  </si>
  <si>
    <t xml:space="preserve">https://www.propertypal.com/1106735</t>
  </si>
  <si>
    <t xml:space="preserve">32 Iris Drive, Belfast, BT12 7BJ</t>
  </si>
  <si>
    <t xml:space="preserve">2026-07-07</t>
  </si>
  <si>
    <t xml:space="preserve">https://www.propertypal.com/1078317</t>
  </si>
  <si>
    <t xml:space="preserve">149 Broadway, Belfast, BT12 6HY</t>
  </si>
  <si>
    <t xml:space="preserve">https://www.propertypal.com/1050395</t>
  </si>
  <si>
    <t xml:space="preserve">64 Benburb Street, Belfast, BT12 6JH</t>
  </si>
  <si>
    <t xml:space="preserve">2026-07-01</t>
  </si>
  <si>
    <t xml:space="preserve">https://www.propertypal.com/1074448</t>
  </si>
  <si>
    <t xml:space="preserve">59 Fort Street, Belfast, BT12 7BH</t>
  </si>
  <si>
    <t xml:space="preserve">https://www.propertypal.com/1077264</t>
  </si>
  <si>
    <t xml:space="preserve">201 Donegall Road, Belfast, BT12 5NA</t>
  </si>
  <si>
    <t xml:space="preserve">2026-10-07</t>
  </si>
  <si>
    <t xml:space="preserve">Guide Price</t>
  </si>
  <si>
    <t xml:space="preserve">https://www.propertypal.com/1106745</t>
  </si>
  <si>
    <t xml:space="preserve">11 Empire Drive, Belfast, BT12 6GQ</t>
  </si>
  <si>
    <t xml:space="preserve">2026-03-05</t>
  </si>
  <si>
    <t xml:space="preserve">https://www.propertypal.com/1060743</t>
  </si>
  <si>
    <t xml:space="preserve">29 Coolfin Street, Belfast, BT12 5PH</t>
  </si>
  <si>
    <t xml:space="preserve">https://www.propertypal.com/1110382</t>
  </si>
  <si>
    <t xml:space="preserve">30 Olympia Drive, Belfast, BT12 6NH</t>
  </si>
  <si>
    <t xml:space="preserve">2026-10-06</t>
  </si>
  <si>
    <t xml:space="preserve">https://www.propertypal.com/1100790</t>
  </si>
  <si>
    <t xml:space="preserve">4 Beechmount Parade, Belfast, BT12 7LW</t>
  </si>
  <si>
    <t xml:space="preserve">https://www.propertypal.com/1088870</t>
  </si>
  <si>
    <t xml:space="preserve">20 Ebor Parade, Belfast, BT12 6NS</t>
  </si>
  <si>
    <t xml:space="preserve">https://www.propertypal.com/1075409</t>
  </si>
  <si>
    <t xml:space="preserve">22 Colinward Street, Springfield Road, Belfast, BT12 7EP</t>
  </si>
  <si>
    <t xml:space="preserve">2026-02-03</t>
  </si>
  <si>
    <t xml:space="preserve">https://www.propertypal.com/1055135</t>
  </si>
  <si>
    <t xml:space="preserve">1 Fort Street, Belfast, BT12 7BH</t>
  </si>
  <si>
    <t xml:space="preserve">2026-07-09</t>
  </si>
  <si>
    <t xml:space="preserve">https://www.propertypal.com/1084186</t>
  </si>
  <si>
    <t xml:space="preserve">6 Roosevelt Rise, Donegall Road, Belfast, BT12 5RN</t>
  </si>
  <si>
    <t xml:space="preserve">https://www.propertypal.com/1124013</t>
  </si>
  <si>
    <t xml:space="preserve">37 Earlscourt Street, Falls Road, Belfast, BT12 7AS</t>
  </si>
  <si>
    <t xml:space="preserve">2026-04-20</t>
  </si>
  <si>
    <t xml:space="preserve">https://www.propertypal.com/1069115</t>
  </si>
  <si>
    <t xml:space="preserve">44 Oakman Street, Falls Road, Belfast, BT12 7BP</t>
  </si>
  <si>
    <t xml:space="preserve">2026-05-06</t>
  </si>
  <si>
    <t xml:space="preserve">https://www.propertypal.com/1046910</t>
  </si>
  <si>
    <t xml:space="preserve">20 Olympia Street, Belfast, BT12 6NJ</t>
  </si>
  <si>
    <t xml:space="preserve">2026-09-29</t>
  </si>
  <si>
    <t xml:space="preserve">https://www.propertypal.com/1103426</t>
  </si>
  <si>
    <t xml:space="preserve">37 Donegall Gardens, Belfast, BT12 6NU</t>
  </si>
  <si>
    <t xml:space="preserve">2026-07-08</t>
  </si>
  <si>
    <t xml:space="preserve">https://www.propertypal.com/1085202</t>
  </si>
  <si>
    <t xml:space="preserve">15 Soudan Street, Donegall Road, Belfast, BT12 6LA</t>
  </si>
  <si>
    <t xml:space="preserve">https://www.propertypal.com/1098361</t>
  </si>
  <si>
    <t xml:space="preserve">17, Maldon Court, Belfast, BT12 6GY</t>
  </si>
  <si>
    <t xml:space="preserve">2026-07-28</t>
  </si>
  <si>
    <t xml:space="preserve">2nd Floor Apartments</t>
  </si>
  <si>
    <t xml:space="preserve">https://www.propertypal.com/1090341</t>
  </si>
  <si>
    <t xml:space="preserve">44 Kitchener Street, Donegall Road, Belfast, BT12 6LE</t>
  </si>
  <si>
    <t xml:space="preserve">https://www.propertypal.com/1105349</t>
  </si>
  <si>
    <t xml:space="preserve">66 Amcomri Street, Belfast, BT12 7ND</t>
  </si>
  <si>
    <t xml:space="preserve">https://www.propertypal.com/1129393</t>
  </si>
  <si>
    <t xml:space="preserve">35 Donegall Avenue, Donegall Road, Belfast, BT12 6LS</t>
  </si>
  <si>
    <t xml:space="preserve">https://www.propertypal.com/1103206</t>
  </si>
  <si>
    <t xml:space="preserve">16 Amcomri Street, Belfast, BT12 7NB</t>
  </si>
  <si>
    <t xml:space="preserve">https://www.propertypal.com/1099262</t>
  </si>
  <si>
    <t xml:space="preserve">16 Islandbawn Street, Falls Road, Belfast, BT12 7LS</t>
  </si>
  <si>
    <t xml:space="preserve">https://www.propertypal.com/1081093</t>
  </si>
  <si>
    <t xml:space="preserve">19 Islandbawn Street, Belfast, BT12 7LS</t>
  </si>
  <si>
    <t xml:space="preserve">https://www.propertypal.com/1090346</t>
  </si>
  <si>
    <t xml:space="preserve">21 Hugo Street, Falls Road, Belfast, BT12 6ET</t>
  </si>
  <si>
    <t xml:space="preserve">2026-02-23</t>
  </si>
  <si>
    <t xml:space="preserve">https://www.propertypal.com/1058258</t>
  </si>
  <si>
    <t xml:space="preserve">22 Oakman Street, Falls Road, Belfast, BT12 7BP</t>
  </si>
  <si>
    <t xml:space="preserve">https://www.propertypal.com/1096127</t>
  </si>
  <si>
    <t xml:space="preserve">35 St Marys Gardens, Belfast, BT12 7LG</t>
  </si>
  <si>
    <t xml:space="preserve">2026-02-11</t>
  </si>
  <si>
    <t xml:space="preserve">https://www.propertypal.com/1053932</t>
  </si>
  <si>
    <t xml:space="preserve">93 Clowney Street, Falls Road, Belfast, BT12 7LZ</t>
  </si>
  <si>
    <t xml:space="preserve">2026-05-20</t>
  </si>
  <si>
    <t xml:space="preserve">https://www.propertypal.com/1067022</t>
  </si>
  <si>
    <t xml:space="preserve">27 Rockdale Street, Belfast, BT12 7PA</t>
  </si>
  <si>
    <t xml:space="preserve">https://www.propertypal.com/1094243</t>
  </si>
  <si>
    <t xml:space="preserve">45 Hamill Street, Falls Road, Belfast, BT12 4AA</t>
  </si>
  <si>
    <t xml:space="preserve">2026-06-12</t>
  </si>
  <si>
    <t xml:space="preserve">https://www.propertypal.com/1080352</t>
  </si>
  <si>
    <t xml:space="preserve">47 Harrogate Street, Falls Road, Belfast, BT12 7AT</t>
  </si>
  <si>
    <t xml:space="preserve">2026-09-12</t>
  </si>
  <si>
    <t xml:space="preserve">https://www.propertypal.com/1059017</t>
  </si>
  <si>
    <t xml:space="preserve">84 Locan Street, Falls Road, Belfast, BT12 7NF</t>
  </si>
  <si>
    <t xml:space="preserve">https://www.propertypal.com/1089030</t>
  </si>
  <si>
    <t xml:space="preserve">88 St. James's Road, Belfast, BT12 6ED</t>
  </si>
  <si>
    <t xml:space="preserve">https://www.propertypal.com/1096082</t>
  </si>
  <si>
    <t xml:space="preserve">24 Kilburn Street, Donegall Road, Belfast, BT12 6JS</t>
  </si>
  <si>
    <t xml:space="preserve">https://www.propertypal.com/1060146</t>
  </si>
  <si>
    <t xml:space="preserve">6 Cavendish Street, Belfast, BT12 7AU</t>
  </si>
  <si>
    <t xml:space="preserve">2026-09-21</t>
  </si>
  <si>
    <t xml:space="preserve">https://www.propertypal.com/1094957</t>
  </si>
  <si>
    <t xml:space="preserve">37 Hamill Street, Belfast, BT12 4AA</t>
  </si>
  <si>
    <t xml:space="preserve">https://www.propertypal.com/1088062</t>
  </si>
  <si>
    <t xml:space="preserve">A, A1.2 Whitehall Square, Belfast, BT12 5EU</t>
  </si>
  <si>
    <t xml:space="preserve">2026-03-19</t>
  </si>
  <si>
    <t xml:space="preserve">https://www.propertypal.com/1062309</t>
  </si>
  <si>
    <t xml:space="preserve">Aa3.1 Whitehall Square, 181 Sandy Row, Belfast South, Belfast, BT12 5EY</t>
  </si>
  <si>
    <t xml:space="preserve">2026-06-03</t>
  </si>
  <si>
    <t xml:space="preserve">3rd Floor Apartments</t>
  </si>
  <si>
    <t xml:space="preserve">https://www.propertypal.com/1077588</t>
  </si>
  <si>
    <t xml:space="preserve">14a Cavendish Square, Falls Road, Belfast, BT12 7AA</t>
  </si>
  <si>
    <t xml:space="preserve">2026-01-13</t>
  </si>
  <si>
    <t xml:space="preserve">https://www.propertypal.com/1052435</t>
  </si>
  <si>
    <t xml:space="preserve">48 Beechmount Crescent, Falls Road, Belfast, BT12 7NJ</t>
  </si>
  <si>
    <t xml:space="preserve">https://www.propertypal.com/1084646</t>
  </si>
  <si>
    <t xml:space="preserve">5 Rockdale Street, Belfast, BT12 7PA</t>
  </si>
  <si>
    <t xml:space="preserve">https://www.propertypal.com/1086287</t>
  </si>
  <si>
    <t xml:space="preserve">Apt 44 Victoria Place, 20 Wellwood Street, Belfast, BT12 5GE</t>
  </si>
  <si>
    <t xml:space="preserve">2026-08-10</t>
  </si>
  <si>
    <t xml:space="preserve">https://www.propertypal.com/1026926</t>
  </si>
  <si>
    <t xml:space="preserve">Apt 122 Victoria Place, 20 Wellwood Street, Belfast, BT12 5GF</t>
  </si>
  <si>
    <t xml:space="preserve">2026-05-26</t>
  </si>
  <si>
    <t xml:space="preserve">https://www.propertypal.com/1015682</t>
  </si>
  <si>
    <t xml:space="preserve">Victoria Place, Apartment 9 Victoria Place 20 Wellwood Street, Belfast, BT12 5GE</t>
  </si>
  <si>
    <t xml:space="preserve">https://www.propertypal.com/1106007</t>
  </si>
  <si>
    <t xml:space="preserve">Apt 25 Victoria Place, 20 Wellwood Street, Belfast, BT12 5GE</t>
  </si>
  <si>
    <t xml:space="preserve">https://www.propertypal.com/1092738</t>
  </si>
  <si>
    <t xml:space="preserve">Apartment 154 Victoria Place 20 Wellwood Street, Belfast, BT12 5GF</t>
  </si>
  <si>
    <t xml:space="preserve">2026-07-20</t>
  </si>
  <si>
    <t xml:space="preserve">https://www.propertypal.com/1084360</t>
  </si>
  <si>
    <t xml:space="preserve">Apartment 8 Victoria Place, Wellwood Street, Belfast, BT12 2GF</t>
  </si>
  <si>
    <t xml:space="preserve">2026-04-22</t>
  </si>
  <si>
    <t xml:space="preserve">https://www.propertypal.com/1066469</t>
  </si>
  <si>
    <t xml:space="preserve">27 Kitchener Street, Donegal Road, Belfast, BT12 6LE</t>
  </si>
  <si>
    <t xml:space="preserve">https://www.propertypal.com/1074159</t>
  </si>
  <si>
    <t xml:space="preserve">7 Richview Street, Belfast, BT12 6GP</t>
  </si>
  <si>
    <t xml:space="preserve">2026-07-05</t>
  </si>
  <si>
    <t xml:space="preserve">https://www.propertypal.com/1085357</t>
  </si>
  <si>
    <t xml:space="preserve">60 Kilburn Street, Belfast, BT12 6JT</t>
  </si>
  <si>
    <t xml:space="preserve">https://www.propertypal.com/1087815</t>
  </si>
  <si>
    <t xml:space="preserve">35 Ebor Parade, Tates Avenue, Belfast, BT12 6NS</t>
  </si>
  <si>
    <t xml:space="preserve">https://www.propertypal.com/1099858</t>
  </si>
  <si>
    <t xml:space="preserve">35 Iveagh Parade, Belfast, BT12 6AZ</t>
  </si>
  <si>
    <t xml:space="preserve">https://www.propertypal.com/1097995</t>
  </si>
  <si>
    <t xml:space="preserve">38 Donegall Gardens, Belfast, BT12 6NU</t>
  </si>
  <si>
    <t xml:space="preserve">https://www.propertypal.com/1100896</t>
  </si>
  <si>
    <t xml:space="preserve">10 Thalia Street, Donegall Road, Belfast, BT12 5PT</t>
  </si>
  <si>
    <t xml:space="preserve">https://www.propertypal.com/1072714</t>
  </si>
  <si>
    <t xml:space="preserve">29 Olympia Drive, Belfast, BT12 6NH</t>
  </si>
  <si>
    <t xml:space="preserve">https://www.propertypal.com/1071363</t>
  </si>
  <si>
    <t xml:space="preserve">23 Amcomri Street, Falls Road, Belfast, BT12 7NB</t>
  </si>
  <si>
    <t xml:space="preserve">2026-01-12</t>
  </si>
  <si>
    <t xml:space="preserve">https://www.propertypal.com/1051666</t>
  </si>
  <si>
    <t xml:space="preserve">87 Iris Drive, Belfast, BT12 7BL</t>
  </si>
  <si>
    <t xml:space="preserve">https://www.propertypal.com/1092635</t>
  </si>
  <si>
    <t xml:space="preserve">33 Olympia Street, Belfast, BT12 6NJ</t>
  </si>
  <si>
    <t xml:space="preserve">https://www.propertypal.com/1086477</t>
  </si>
  <si>
    <t xml:space="preserve">11 Iveagh Drive, Falls Road, Belfast, BT12 6AY</t>
  </si>
  <si>
    <t xml:space="preserve">2026-08-25</t>
  </si>
  <si>
    <t xml:space="preserve">https://www.propertypal.com/1056401</t>
  </si>
  <si>
    <t xml:space="preserve">155 Donegall Road, Belfast, BT12 5NA</t>
  </si>
  <si>
    <t xml:space="preserve">https://www.propertypal.com/1096500</t>
  </si>
  <si>
    <t xml:space="preserve">1 Rodney Drive, Donegall Road, Belfast, BT12 6DZ</t>
  </si>
  <si>
    <t xml:space="preserve">2026-03-06</t>
  </si>
  <si>
    <t xml:space="preserve">https://www.propertypal.com/1058478</t>
  </si>
  <si>
    <t xml:space="preserve">158 Tates Avenue, Belfast, Belfast, BT12 6ND</t>
  </si>
  <si>
    <t xml:space="preserve">https://www.propertypal.com/1032432</t>
  </si>
  <si>
    <t xml:space="preserve">16 Rodney Parade, Belfast, BT12 6EE</t>
  </si>
  <si>
    <t xml:space="preserve">https://www.propertypal.com/1078858</t>
  </si>
  <si>
    <t xml:space="preserve">22 Iveagh Parade, Falls Road, Belfast, BT12 6AZ</t>
  </si>
  <si>
    <t xml:space="preserve">2026-03-03</t>
  </si>
  <si>
    <t xml:space="preserve">https://www.propertypal.com/1058783</t>
  </si>
  <si>
    <t xml:space="preserve">36 Rodney Parade, Off Donegall Road, Belfast, BT12 6EE</t>
  </si>
  <si>
    <t xml:space="preserve">2026-03-27</t>
  </si>
  <si>
    <t xml:space="preserve">https://www.propertypal.com/1041361</t>
  </si>
  <si>
    <t xml:space="preserve">48 Iris Drive, Belfast, BT12 7BL</t>
  </si>
  <si>
    <t xml:space="preserve">2026-02-17</t>
  </si>
  <si>
    <t xml:space="preserve">https://www.propertypal.com/1057027</t>
  </si>
  <si>
    <t xml:space="preserve">5 Rockville Street, Belfast, BT12 7PB</t>
  </si>
  <si>
    <t xml:space="preserve">https://www.propertypal.com/1105931</t>
  </si>
  <si>
    <t xml:space="preserve">30 St. James's Road, Belfast, BT12 6EA</t>
  </si>
  <si>
    <t xml:space="preserve">https://www.propertypal.com/1081172</t>
  </si>
  <si>
    <t xml:space="preserve">113 Ballymurphy Road, Whiterock Road, Belfast, BT12 7JP</t>
  </si>
  <si>
    <t xml:space="preserve">2025-11-27</t>
  </si>
  <si>
    <t xml:space="preserve">https://www.propertypal.com/1041387</t>
  </si>
  <si>
    <t xml:space="preserve">23 Donegall Avenue, Belfast, BT12 6LS</t>
  </si>
  <si>
    <t xml:space="preserve">https://www.propertypal.com/1064485</t>
  </si>
  <si>
    <t xml:space="preserve">44 Nansen Street, Falls Road, Belfast, BT12 6AT</t>
  </si>
  <si>
    <t xml:space="preserve">https://www.propertypal.com/1096778</t>
  </si>
  <si>
    <t xml:space="preserve">85 Hawthorn Street, Belfast, BT12 7AQ</t>
  </si>
  <si>
    <t xml:space="preserve">https://www.propertypal.com/1071562</t>
  </si>
  <si>
    <t xml:space="preserve">10 Iris Mews, Belfast, BT12 7HZ</t>
  </si>
  <si>
    <t xml:space="preserve">https://www.propertypal.com/1083190</t>
  </si>
  <si>
    <t xml:space="preserve">23 Rockmount Street, Falls Road, Belfast, BT12 7PE</t>
  </si>
  <si>
    <t xml:space="preserve">2026-01-05</t>
  </si>
  <si>
    <t xml:space="preserve">https://www.propertypal.com/1051795</t>
  </si>
  <si>
    <t xml:space="preserve">65 Whiterock Road, Off Falls Road, Belfast, BT12 7PG</t>
  </si>
  <si>
    <t xml:space="preserve">https://www.propertypal.com/1065690</t>
  </si>
  <si>
    <t xml:space="preserve">53 Divismore Crescent, Off Springfield Road, Belfast, BT12 7LE</t>
  </si>
  <si>
    <t xml:space="preserve">https://www.propertypal.com/1101811</t>
  </si>
  <si>
    <t xml:space="preserve">65 Earlscourt Street, Falls Road, Belfast, BT12 7AS</t>
  </si>
  <si>
    <t xml:space="preserve">https://www.propertypal.com/1099136</t>
  </si>
  <si>
    <t xml:space="preserve">7 New Barnsley Crescent, Belfast, BT12 7HT</t>
  </si>
  <si>
    <t xml:space="preserve">https://www.propertypal.com/1086026</t>
  </si>
  <si>
    <t xml:space="preserve">14 Abingdon Drive, Belfast, BT12 5PX</t>
  </si>
  <si>
    <t xml:space="preserve">https://www.propertypal.com/1099832</t>
  </si>
  <si>
    <t xml:space="preserve">2 Ballymurphy Road, Belfast, BT12 7JL</t>
  </si>
  <si>
    <t xml:space="preserve">https://www.propertypal.com/1095193</t>
  </si>
  <si>
    <t xml:space="preserve">2 Clondara Parade, Falls Road, Belfast, BT12 6ES</t>
  </si>
  <si>
    <t xml:space="preserve">https://www.propertypal.com/1096598</t>
  </si>
  <si>
    <t xml:space="preserve">27 Harrogate Street, Falls Road, Belfast, BT12 7AT</t>
  </si>
  <si>
    <t xml:space="preserve">https://www.propertypal.com/1091029</t>
  </si>
  <si>
    <t xml:space="preserve">28 Moyard Park, Belfast, BT12 7FS</t>
  </si>
  <si>
    <t xml:space="preserve">https://www.propertypal.com/1068867</t>
  </si>
  <si>
    <t xml:space="preserve">4 Valleyside Close, Springfield Road, Belfast, BT12 7LH</t>
  </si>
  <si>
    <t xml:space="preserve">2026-01-26</t>
  </si>
  <si>
    <t xml:space="preserve">https://www.propertypal.com/1038397</t>
  </si>
  <si>
    <t xml:space="preserve">8 Frenchpark Street, Belfast, BT12 6NX</t>
  </si>
  <si>
    <t xml:space="preserve">https://www.propertypal.com/1111007</t>
  </si>
  <si>
    <t xml:space="preserve">69 Moyard Parade, Springfield Road, Belfast, BT12 7HA</t>
  </si>
  <si>
    <t xml:space="preserve">2026-07-18</t>
  </si>
  <si>
    <t xml:space="preserve">https://www.propertypal.com/1055632</t>
  </si>
  <si>
    <t xml:space="preserve">20 Rockmount Street, Falls Road, Belfast, BT12 7PE</t>
  </si>
  <si>
    <t xml:space="preserve">2026-06-19</t>
  </si>
  <si>
    <t xml:space="preserve">https://www.propertypal.com/1061527</t>
  </si>
  <si>
    <t xml:space="preserve">48 Mica Drive, Falls Road, Belfast, BT12 7NN</t>
  </si>
  <si>
    <t xml:space="preserve">https://www.propertypal.com/1057057</t>
  </si>
  <si>
    <t xml:space="preserve">24 Ebor Drive, Belfast, BT12 6NR</t>
  </si>
  <si>
    <t xml:space="preserve">https://www.propertypal.com/1085616</t>
  </si>
  <si>
    <t xml:space="preserve">5 Milford Street, Falls Road, Belfast, BT12</t>
  </si>
  <si>
    <t xml:space="preserve">2026-05-27</t>
  </si>
  <si>
    <t xml:space="preserve">https://www.propertypal.com/1075389</t>
  </si>
  <si>
    <t xml:space="preserve">59 Whiterock Road, Belfast, BT12 7PG</t>
  </si>
  <si>
    <t xml:space="preserve">https://www.propertypal.com/1097002</t>
  </si>
  <si>
    <t xml:space="preserve">29 Leeson Street, Belfast, BT12 4LF</t>
  </si>
  <si>
    <t xml:space="preserve">https://www.propertypal.com/1068476</t>
  </si>
  <si>
    <t xml:space="preserve">29 St. James's Road, Belfast, BT12 6EA</t>
  </si>
  <si>
    <t xml:space="preserve">https://www.propertypal.com/1129396</t>
  </si>
  <si>
    <t xml:space="preserve">53 Beechview Park, Off Whiterock Road, Belfast, BT12 7PY</t>
  </si>
  <si>
    <t xml:space="preserve">https://www.propertypal.com/1106657</t>
  </si>
  <si>
    <t xml:space="preserve">11 Iris Close, Belfast, BT12 7BY</t>
  </si>
  <si>
    <t xml:space="preserve">https://www.propertypal.com/1077753</t>
  </si>
  <si>
    <t xml:space="preserve">32 Beechmount Walk, Belfast, BT12 7NS</t>
  </si>
  <si>
    <t xml:space="preserve">https://www.propertypal.com/1089979</t>
  </si>
  <si>
    <t xml:space="preserve">516 Falls Road, Belfast, BT12 6EP</t>
  </si>
  <si>
    <t xml:space="preserve">Detached Houses</t>
  </si>
  <si>
    <t xml:space="preserve">https://www.propertypal.com/1095105</t>
  </si>
  <si>
    <t xml:space="preserve">24 Dermott Hill Road, Springfield Road, Belfast, BT12 7GB</t>
  </si>
  <si>
    <t xml:space="preserve">2026-05-15</t>
  </si>
  <si>
    <t xml:space="preserve">https://www.propertypal.com/1075553</t>
  </si>
  <si>
    <t xml:space="preserve">58 Beechmount Pass, Falls Road, Belfast, BT12 7NW</t>
  </si>
  <si>
    <t xml:space="preserve">https://www.propertypal.com/1084138</t>
  </si>
  <si>
    <t xml:space="preserve">8 Cluain Mor Drive, Belfast, BT12 7UG</t>
  </si>
  <si>
    <t xml:space="preserve">https://www.propertypal.com/1125152</t>
  </si>
  <si>
    <t xml:space="preserve">33 La Salle Park, Falls Road, Belfast, BT12 6DL</t>
  </si>
  <si>
    <t xml:space="preserve">2026-09-16</t>
  </si>
  <si>
    <t xml:space="preserve">https://www.propertypal.com/1101699</t>
  </si>
  <si>
    <t xml:space="preserve">Units 1 &amp;, 36 Soudan Street, Belfast, BT12 6LA</t>
  </si>
  <si>
    <t xml:space="preserve">https://www.propertypal.com/1060319</t>
  </si>
  <si>
    <t xml:space="preserve">84 Kitchener Street, Belfast, BT12 6LF</t>
  </si>
  <si>
    <t xml:space="preserve">2026-04-16</t>
  </si>
  <si>
    <t xml:space="preserve">https://www.propertypal.com/1067007</t>
  </si>
  <si>
    <t xml:space="preserve">162 Broadway, Belfast, BT12 6HY</t>
  </si>
  <si>
    <t xml:space="preserve">https://www.propertypal.com/1083914</t>
  </si>
  <si>
    <t xml:space="preserve">54 Kitchener Street, Belfast, BT12 6LF</t>
  </si>
  <si>
    <t xml:space="preserve">https://www.propertypal.com/1069459</t>
  </si>
  <si>
    <t xml:space="preserve">89 Amcomri Street, Belfast, BT12 7ND</t>
  </si>
  <si>
    <t xml:space="preserve">https://www.propertypal.com/1085238</t>
  </si>
  <si>
    <t xml:space="preserve">205 Donegall Road, Belfast, BT12 5NA</t>
  </si>
  <si>
    <t xml:space="preserve">https://www.propertypal.com/1124093</t>
  </si>
  <si>
    <t xml:space="preserve">245 Roden Street, Belfast, BT12 5QB</t>
  </si>
  <si>
    <t xml:space="preserve">https://www.propertypal.com/1081879</t>
  </si>
  <si>
    <t xml:space="preserve">16 Nansen Street, Falls Road, Belfast, BT12 6AT</t>
  </si>
  <si>
    <t xml:space="preserve">2026-09-02</t>
  </si>
  <si>
    <t xml:space="preserve">https://www.propertypal.com/1079299</t>
  </si>
  <si>
    <t xml:space="preserve">26 Ballymurphy Road, Belfast, BT12 7JL</t>
  </si>
  <si>
    <t xml:space="preserve">https://www.propertypal.com/1084787</t>
  </si>
  <si>
    <t xml:space="preserve">26 Whitecliff Parade, Belfast, BT12 7JS</t>
  </si>
  <si>
    <t xml:space="preserve">2026-08-11</t>
  </si>
  <si>
    <t xml:space="preserve">https://www.propertypal.com/1092032</t>
  </si>
  <si>
    <t xml:space="preserve">72 Ballymurphy Road, Belfast, BT12 7JN</t>
  </si>
  <si>
    <t xml:space="preserve">https://www.propertypal.com/1085070</t>
  </si>
  <si>
    <t xml:space="preserve">353 Donegall Road, Belfast, BT12 6FQ</t>
  </si>
  <si>
    <t xml:space="preserve">https://www.propertypal.com/1100142</t>
  </si>
  <si>
    <t xml:space="preserve">9 Ladymar Court, Off Grosvenor Road, Belfast, BT12 4NR</t>
  </si>
  <si>
    <t xml:space="preserve">https://www.propertypal.com/1066634</t>
  </si>
  <si>
    <t xml:space="preserve">153 Falls Road, Belfast, BT12 6AF</t>
  </si>
  <si>
    <t xml:space="preserve">https://www.propertypal.com/1089928</t>
  </si>
  <si>
    <t xml:space="preserve">Average asking price on sale agreed listings (PropertyPal)</t>
  </si>
  <si>
    <t xml:space="preserve">All figures are formulas over the 'Sale Agreed' sheet. Prices are the asking price when the sale was agreed, not the final sold price. 'Rooms' = bedrooms in the advert.</t>
  </si>
  <si>
    <t xml:space="preserve">Area</t>
  </si>
  <si>
    <t xml:space="preserve">Sales (n)</t>
  </si>
  <si>
    <t xml:space="preserve">Average £</t>
  </si>
  <si>
    <t xml:space="preserve">Median £</t>
  </si>
  <si>
    <t xml:space="preserve">Lowest</t>
  </si>
  <si>
    <t xml:space="preserve">Highest</t>
  </si>
  <si>
    <t xml:space="preserve">1</t>
  </si>
  <si>
    <t xml:space="preserve">2</t>
  </si>
  <si>
    <t xml:space="preserve">3</t>
  </si>
  <si>
    <t xml:space="preserve">4</t>
  </si>
  <si>
    <t xml:space="preserve">5</t>
  </si>
  <si>
    <t xml:space="preserve">6+</t>
  </si>
  <si>
    <t xml:space="preserve">All sizes</t>
  </si>
  <si>
    <t xml:space="preserve">BT7 + BT12</t>
  </si>
  <si>
    <t xml:space="preserve">How this was built (19 Oct 2026)</t>
  </si>
  <si>
    <t xml:space="preserve">Source: PropertyPal sale search for BT7 and BT12 with the 'Sale agreed' status, read from PropertyPal's own search results.</t>
  </si>
  <si>
    <t xml:space="preserve">Time window: only listings whose status changed to Sale agreed between 19 Oct 2025 and 19 Oct 2026. PropertyPal's status history starts in about Nov 2025, so the earliest date in the data is 13 Nov 2025.</t>
  </si>
  <si>
    <t xml:space="preserve">Price shown is the asking price when the sale was agreed (the 'Price basis' column says whether it was Offers Over, Offers Around, Asking Price, Guide Price or plain Price). It is NOT the final sold price, which PropertyPal does not publish on the listing. Final prices are on PropertyPal's Sold Price Checker / Land Registry data.</t>
  </si>
  <si>
    <t xml:space="preserve">Excluded: 29 sale-agreed listings with no status date in their history, 28 with no price shown, and 2 with no bedroom count (1-7 Apartments @ 41 Cromwell Road, 5 Cameron Street).</t>
  </si>
  <si>
    <t xml:space="preserve">Only 'Sale agreed' listings are included. PropertyPal's separate 'Sold' status had just 1 listing in BT7, so it was left out.</t>
  </si>
  <si>
    <t xml:space="preserve">Rooms is the bedroom count from the advert. Rows with 6+ rooms are few and include multi-unit blocks; treat them with caution.</t>
  </si>
  <si>
    <t xml:space="preserve">Where PropertyPal has relisted a property after a fall-through, only the most recent sale-agreed date is used, so each property appears once.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</si>
</sst>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2"/>
      <name val="Arial"/>
      <family val="0"/>
      <charset val="1"/>
    </font>
    <font>
      <i val="true"/>
      <sz val="9"/>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propertypal.com/1093809" TargetMode="External"/><Relationship Id="rId2" Type="http://schemas.openxmlformats.org/officeDocument/2006/relationships/hyperlink" Target="https://www.propertypal.com/1069515" TargetMode="External"/><Relationship Id="rId3" Type="http://schemas.openxmlformats.org/officeDocument/2006/relationships/hyperlink" Target="https://www.propertypal.com/1078354" TargetMode="External"/><Relationship Id="rId4" Type="http://schemas.openxmlformats.org/officeDocument/2006/relationships/hyperlink" Target="https://www.propertypal.com/1113337" TargetMode="External"/><Relationship Id="rId5" Type="http://schemas.openxmlformats.org/officeDocument/2006/relationships/hyperlink" Target="https://www.propertypal.com/1015619" TargetMode="External"/><Relationship Id="rId6" Type="http://schemas.openxmlformats.org/officeDocument/2006/relationships/hyperlink" Target="https://www.propertypal.com/1090001" TargetMode="External"/><Relationship Id="rId7" Type="http://schemas.openxmlformats.org/officeDocument/2006/relationships/hyperlink" Target="https://www.propertypal.com/1099635" TargetMode="External"/><Relationship Id="rId8" Type="http://schemas.openxmlformats.org/officeDocument/2006/relationships/hyperlink" Target="https://www.propertypal.com/1120458" TargetMode="External"/><Relationship Id="rId9" Type="http://schemas.openxmlformats.org/officeDocument/2006/relationships/hyperlink" Target="https://www.propertypal.com/1075460" TargetMode="External"/><Relationship Id="rId10" Type="http://schemas.openxmlformats.org/officeDocument/2006/relationships/hyperlink" Target="https://www.propertypal.com/1049113" TargetMode="External"/><Relationship Id="rId11" Type="http://schemas.openxmlformats.org/officeDocument/2006/relationships/hyperlink" Target="https://www.propertypal.com/1066516" TargetMode="External"/><Relationship Id="rId12" Type="http://schemas.openxmlformats.org/officeDocument/2006/relationships/hyperlink" Target="https://www.propertypal.com/1068953" TargetMode="External"/><Relationship Id="rId13" Type="http://schemas.openxmlformats.org/officeDocument/2006/relationships/hyperlink" Target="https://www.propertypal.com/1100227" TargetMode="External"/><Relationship Id="rId14" Type="http://schemas.openxmlformats.org/officeDocument/2006/relationships/hyperlink" Target="https://www.propertypal.com/1059170" TargetMode="External"/><Relationship Id="rId15" Type="http://schemas.openxmlformats.org/officeDocument/2006/relationships/hyperlink" Target="https://www.propertypal.com/1068798" TargetMode="External"/><Relationship Id="rId16" Type="http://schemas.openxmlformats.org/officeDocument/2006/relationships/hyperlink" Target="https://www.propertypal.com/1098384" TargetMode="External"/><Relationship Id="rId17" Type="http://schemas.openxmlformats.org/officeDocument/2006/relationships/hyperlink" Target="https://www.propertypal.com/1095403" TargetMode="External"/><Relationship Id="rId18" Type="http://schemas.openxmlformats.org/officeDocument/2006/relationships/hyperlink" Target="https://www.propertypal.com/1097968" TargetMode="External"/><Relationship Id="rId19" Type="http://schemas.openxmlformats.org/officeDocument/2006/relationships/hyperlink" Target="https://www.propertypal.com/1072559" TargetMode="External"/><Relationship Id="rId20" Type="http://schemas.openxmlformats.org/officeDocument/2006/relationships/hyperlink" Target="https://www.propertypal.com/1066411" TargetMode="External"/><Relationship Id="rId21" Type="http://schemas.openxmlformats.org/officeDocument/2006/relationships/hyperlink" Target="https://www.propertypal.com/1041323" TargetMode="External"/><Relationship Id="rId22" Type="http://schemas.openxmlformats.org/officeDocument/2006/relationships/hyperlink" Target="https://www.propertypal.com/1076123" TargetMode="External"/><Relationship Id="rId23" Type="http://schemas.openxmlformats.org/officeDocument/2006/relationships/hyperlink" Target="https://www.propertypal.com/1057940" TargetMode="External"/><Relationship Id="rId24" Type="http://schemas.openxmlformats.org/officeDocument/2006/relationships/hyperlink" Target="https://www.propertypal.com/1098758" TargetMode="External"/><Relationship Id="rId25" Type="http://schemas.openxmlformats.org/officeDocument/2006/relationships/hyperlink" Target="https://www.propertypal.com/1100859" TargetMode="External"/><Relationship Id="rId26" Type="http://schemas.openxmlformats.org/officeDocument/2006/relationships/hyperlink" Target="https://www.propertypal.com/1054461" TargetMode="External"/><Relationship Id="rId27" Type="http://schemas.openxmlformats.org/officeDocument/2006/relationships/hyperlink" Target="https://www.propertypal.com/1088026" TargetMode="External"/><Relationship Id="rId28" Type="http://schemas.openxmlformats.org/officeDocument/2006/relationships/hyperlink" Target="https://www.propertypal.com/1097931" TargetMode="External"/><Relationship Id="rId29" Type="http://schemas.openxmlformats.org/officeDocument/2006/relationships/hyperlink" Target="https://www.propertypal.com/1085450" TargetMode="External"/><Relationship Id="rId30" Type="http://schemas.openxmlformats.org/officeDocument/2006/relationships/hyperlink" Target="https://www.propertypal.com/1099308" TargetMode="External"/><Relationship Id="rId31" Type="http://schemas.openxmlformats.org/officeDocument/2006/relationships/hyperlink" Target="https://www.propertypal.com/1068073" TargetMode="External"/><Relationship Id="rId32" Type="http://schemas.openxmlformats.org/officeDocument/2006/relationships/hyperlink" Target="https://www.propertypal.com/1110515" TargetMode="External"/><Relationship Id="rId33" Type="http://schemas.openxmlformats.org/officeDocument/2006/relationships/hyperlink" Target="https://www.propertypal.com/1077179" TargetMode="External"/><Relationship Id="rId34" Type="http://schemas.openxmlformats.org/officeDocument/2006/relationships/hyperlink" Target="https://www.propertypal.com/1047930" TargetMode="External"/><Relationship Id="rId35" Type="http://schemas.openxmlformats.org/officeDocument/2006/relationships/hyperlink" Target="https://www.propertypal.com/1083460" TargetMode="External"/><Relationship Id="rId36" Type="http://schemas.openxmlformats.org/officeDocument/2006/relationships/hyperlink" Target="https://www.propertypal.com/1089851" TargetMode="External"/><Relationship Id="rId37" Type="http://schemas.openxmlformats.org/officeDocument/2006/relationships/hyperlink" Target="https://www.propertypal.com/1124863" TargetMode="External"/><Relationship Id="rId38" Type="http://schemas.openxmlformats.org/officeDocument/2006/relationships/hyperlink" Target="https://www.propertypal.com/1084861" TargetMode="External"/><Relationship Id="rId39" Type="http://schemas.openxmlformats.org/officeDocument/2006/relationships/hyperlink" Target="https://www.propertypal.com/1091042" TargetMode="External"/><Relationship Id="rId40" Type="http://schemas.openxmlformats.org/officeDocument/2006/relationships/hyperlink" Target="https://www.propertypal.com/1080995" TargetMode="External"/><Relationship Id="rId41" Type="http://schemas.openxmlformats.org/officeDocument/2006/relationships/hyperlink" Target="https://www.propertypal.com/1078793" TargetMode="External"/><Relationship Id="rId42" Type="http://schemas.openxmlformats.org/officeDocument/2006/relationships/hyperlink" Target="https://www.propertypal.com/1064691" TargetMode="External"/><Relationship Id="rId43" Type="http://schemas.openxmlformats.org/officeDocument/2006/relationships/hyperlink" Target="https://www.propertypal.com/1091177" TargetMode="External"/><Relationship Id="rId44" Type="http://schemas.openxmlformats.org/officeDocument/2006/relationships/hyperlink" Target="https://www.propertypal.com/1106276" TargetMode="External"/><Relationship Id="rId45" Type="http://schemas.openxmlformats.org/officeDocument/2006/relationships/hyperlink" Target="https://www.propertypal.com/1085236" TargetMode="External"/><Relationship Id="rId46" Type="http://schemas.openxmlformats.org/officeDocument/2006/relationships/hyperlink" Target="https://www.propertypal.com/1012572" TargetMode="External"/><Relationship Id="rId47" Type="http://schemas.openxmlformats.org/officeDocument/2006/relationships/hyperlink" Target="https://www.propertypal.com/1121813" TargetMode="External"/><Relationship Id="rId48" Type="http://schemas.openxmlformats.org/officeDocument/2006/relationships/hyperlink" Target="https://www.propertypal.com/1080539" TargetMode="External"/><Relationship Id="rId49" Type="http://schemas.openxmlformats.org/officeDocument/2006/relationships/hyperlink" Target="https://www.propertypal.com/1075652" TargetMode="External"/><Relationship Id="rId50" Type="http://schemas.openxmlformats.org/officeDocument/2006/relationships/hyperlink" Target="https://www.propertypal.com/1070005" TargetMode="External"/><Relationship Id="rId51" Type="http://schemas.openxmlformats.org/officeDocument/2006/relationships/hyperlink" Target="https://www.propertypal.com/1088489" TargetMode="External"/><Relationship Id="rId52" Type="http://schemas.openxmlformats.org/officeDocument/2006/relationships/hyperlink" Target="https://www.propertypal.com/1077705" TargetMode="External"/><Relationship Id="rId53" Type="http://schemas.openxmlformats.org/officeDocument/2006/relationships/hyperlink" Target="https://www.propertypal.com/1081343" TargetMode="External"/><Relationship Id="rId54" Type="http://schemas.openxmlformats.org/officeDocument/2006/relationships/hyperlink" Target="https://www.propertypal.com/1098057" TargetMode="External"/><Relationship Id="rId55" Type="http://schemas.openxmlformats.org/officeDocument/2006/relationships/hyperlink" Target="https://www.propertypal.com/1098884" TargetMode="External"/><Relationship Id="rId56" Type="http://schemas.openxmlformats.org/officeDocument/2006/relationships/hyperlink" Target="https://www.propertypal.com/1047124" TargetMode="External"/><Relationship Id="rId57" Type="http://schemas.openxmlformats.org/officeDocument/2006/relationships/hyperlink" Target="https://www.propertypal.com/1096920" TargetMode="External"/><Relationship Id="rId58" Type="http://schemas.openxmlformats.org/officeDocument/2006/relationships/hyperlink" Target="https://www.propertypal.com/1056877" TargetMode="External"/><Relationship Id="rId59" Type="http://schemas.openxmlformats.org/officeDocument/2006/relationships/hyperlink" Target="https://www.propertypal.com/1097041" TargetMode="External"/><Relationship Id="rId60" Type="http://schemas.openxmlformats.org/officeDocument/2006/relationships/hyperlink" Target="https://www.propertypal.com/1093202" TargetMode="External"/><Relationship Id="rId61" Type="http://schemas.openxmlformats.org/officeDocument/2006/relationships/hyperlink" Target="https://www.propertypal.com/1062918" TargetMode="External"/><Relationship Id="rId62" Type="http://schemas.openxmlformats.org/officeDocument/2006/relationships/hyperlink" Target="https://www.propertypal.com/1076612" TargetMode="External"/><Relationship Id="rId63" Type="http://schemas.openxmlformats.org/officeDocument/2006/relationships/hyperlink" Target="https://www.propertypal.com/1099248" TargetMode="External"/><Relationship Id="rId64" Type="http://schemas.openxmlformats.org/officeDocument/2006/relationships/hyperlink" Target="https://www.propertypal.com/1081018" TargetMode="External"/><Relationship Id="rId65" Type="http://schemas.openxmlformats.org/officeDocument/2006/relationships/hyperlink" Target="https://www.propertypal.com/1092007" TargetMode="External"/><Relationship Id="rId66" Type="http://schemas.openxmlformats.org/officeDocument/2006/relationships/hyperlink" Target="https://www.propertypal.com/1098578" TargetMode="External"/><Relationship Id="rId67" Type="http://schemas.openxmlformats.org/officeDocument/2006/relationships/hyperlink" Target="https://www.propertypal.com/1094812" TargetMode="External"/><Relationship Id="rId68" Type="http://schemas.openxmlformats.org/officeDocument/2006/relationships/hyperlink" Target="https://www.propertypal.com/1085540" TargetMode="External"/><Relationship Id="rId69" Type="http://schemas.openxmlformats.org/officeDocument/2006/relationships/hyperlink" Target="https://www.propertypal.com/1082673" TargetMode="External"/><Relationship Id="rId70" Type="http://schemas.openxmlformats.org/officeDocument/2006/relationships/hyperlink" Target="https://www.propertypal.com/1098476" TargetMode="External"/><Relationship Id="rId71" Type="http://schemas.openxmlformats.org/officeDocument/2006/relationships/hyperlink" Target="https://www.propertypal.com/1095554" TargetMode="External"/><Relationship Id="rId72" Type="http://schemas.openxmlformats.org/officeDocument/2006/relationships/hyperlink" Target="https://www.propertypal.com/1085244" TargetMode="External"/><Relationship Id="rId73" Type="http://schemas.openxmlformats.org/officeDocument/2006/relationships/hyperlink" Target="https://www.propertypal.com/1099396" TargetMode="External"/><Relationship Id="rId74" Type="http://schemas.openxmlformats.org/officeDocument/2006/relationships/hyperlink" Target="https://www.propertypal.com/1085558" TargetMode="External"/><Relationship Id="rId75" Type="http://schemas.openxmlformats.org/officeDocument/2006/relationships/hyperlink" Target="https://www.propertypal.com/1083222" TargetMode="External"/><Relationship Id="rId76" Type="http://schemas.openxmlformats.org/officeDocument/2006/relationships/hyperlink" Target="https://www.propertypal.com/1085344" TargetMode="External"/><Relationship Id="rId77" Type="http://schemas.openxmlformats.org/officeDocument/2006/relationships/hyperlink" Target="https://www.propertypal.com/1072108" TargetMode="External"/><Relationship Id="rId78" Type="http://schemas.openxmlformats.org/officeDocument/2006/relationships/hyperlink" Target="https://www.propertypal.com/1111686" TargetMode="External"/><Relationship Id="rId79" Type="http://schemas.openxmlformats.org/officeDocument/2006/relationships/hyperlink" Target="https://www.propertypal.com/1113354" TargetMode="External"/><Relationship Id="rId80" Type="http://schemas.openxmlformats.org/officeDocument/2006/relationships/hyperlink" Target="https://www.propertypal.com/1074996" TargetMode="External"/><Relationship Id="rId81" Type="http://schemas.openxmlformats.org/officeDocument/2006/relationships/hyperlink" Target="https://www.propertypal.com/1082526" TargetMode="External"/><Relationship Id="rId82" Type="http://schemas.openxmlformats.org/officeDocument/2006/relationships/hyperlink" Target="https://www.propertypal.com/1062169" TargetMode="External"/><Relationship Id="rId83" Type="http://schemas.openxmlformats.org/officeDocument/2006/relationships/hyperlink" Target="https://www.propertypal.com/1094400" TargetMode="External"/><Relationship Id="rId84" Type="http://schemas.openxmlformats.org/officeDocument/2006/relationships/hyperlink" Target="https://www.propertypal.com/1081623" TargetMode="External"/><Relationship Id="rId85" Type="http://schemas.openxmlformats.org/officeDocument/2006/relationships/hyperlink" Target="https://www.propertypal.com/1096361" TargetMode="External"/><Relationship Id="rId86" Type="http://schemas.openxmlformats.org/officeDocument/2006/relationships/hyperlink" Target="https://www.propertypal.com/1081558" TargetMode="External"/><Relationship Id="rId87" Type="http://schemas.openxmlformats.org/officeDocument/2006/relationships/hyperlink" Target="https://www.propertypal.com/1089152" TargetMode="External"/><Relationship Id="rId88" Type="http://schemas.openxmlformats.org/officeDocument/2006/relationships/hyperlink" Target="https://www.propertypal.com/1084598" TargetMode="External"/><Relationship Id="rId89" Type="http://schemas.openxmlformats.org/officeDocument/2006/relationships/hyperlink" Target="https://www.propertypal.com/1084859" TargetMode="External"/><Relationship Id="rId90" Type="http://schemas.openxmlformats.org/officeDocument/2006/relationships/hyperlink" Target="https://www.propertypal.com/1103285" TargetMode="External"/><Relationship Id="rId91" Type="http://schemas.openxmlformats.org/officeDocument/2006/relationships/hyperlink" Target="https://www.propertypal.com/1098817" TargetMode="External"/><Relationship Id="rId92" Type="http://schemas.openxmlformats.org/officeDocument/2006/relationships/hyperlink" Target="https://www.propertypal.com/1080835" TargetMode="External"/><Relationship Id="rId93" Type="http://schemas.openxmlformats.org/officeDocument/2006/relationships/hyperlink" Target="https://www.propertypal.com/1077035" TargetMode="External"/><Relationship Id="rId94" Type="http://schemas.openxmlformats.org/officeDocument/2006/relationships/hyperlink" Target="https://www.propertypal.com/1060883" TargetMode="External"/><Relationship Id="rId95" Type="http://schemas.openxmlformats.org/officeDocument/2006/relationships/hyperlink" Target="https://www.propertypal.com/1082403" TargetMode="External"/><Relationship Id="rId96" Type="http://schemas.openxmlformats.org/officeDocument/2006/relationships/hyperlink" Target="https://www.propertypal.com/1075870" TargetMode="External"/><Relationship Id="rId97" Type="http://schemas.openxmlformats.org/officeDocument/2006/relationships/hyperlink" Target="https://www.propertypal.com/1095134" TargetMode="External"/><Relationship Id="rId98" Type="http://schemas.openxmlformats.org/officeDocument/2006/relationships/hyperlink" Target="https://www.propertypal.com/1062999" TargetMode="External"/><Relationship Id="rId99" Type="http://schemas.openxmlformats.org/officeDocument/2006/relationships/hyperlink" Target="https://www.propertypal.com/1072981" TargetMode="External"/><Relationship Id="rId100" Type="http://schemas.openxmlformats.org/officeDocument/2006/relationships/hyperlink" Target="https://www.propertypal.com/1078856" TargetMode="External"/><Relationship Id="rId101" Type="http://schemas.openxmlformats.org/officeDocument/2006/relationships/hyperlink" Target="https://www.propertypal.com/1082608" TargetMode="External"/><Relationship Id="rId102" Type="http://schemas.openxmlformats.org/officeDocument/2006/relationships/hyperlink" Target="https://www.propertypal.com/1056642" TargetMode="External"/><Relationship Id="rId103" Type="http://schemas.openxmlformats.org/officeDocument/2006/relationships/hyperlink" Target="https://www.propertypal.com/960835" TargetMode="External"/><Relationship Id="rId104" Type="http://schemas.openxmlformats.org/officeDocument/2006/relationships/hyperlink" Target="https://www.propertypal.com/1061982" TargetMode="External"/><Relationship Id="rId105" Type="http://schemas.openxmlformats.org/officeDocument/2006/relationships/hyperlink" Target="https://www.propertypal.com/1096907" TargetMode="External"/><Relationship Id="rId106" Type="http://schemas.openxmlformats.org/officeDocument/2006/relationships/hyperlink" Target="https://www.propertypal.com/1066677" TargetMode="External"/><Relationship Id="rId107" Type="http://schemas.openxmlformats.org/officeDocument/2006/relationships/hyperlink" Target="https://www.propertypal.com/1080979" TargetMode="External"/><Relationship Id="rId108" Type="http://schemas.openxmlformats.org/officeDocument/2006/relationships/hyperlink" Target="https://www.propertypal.com/1096674" TargetMode="External"/><Relationship Id="rId109" Type="http://schemas.openxmlformats.org/officeDocument/2006/relationships/hyperlink" Target="https://www.propertypal.com/1083184" TargetMode="External"/><Relationship Id="rId110" Type="http://schemas.openxmlformats.org/officeDocument/2006/relationships/hyperlink" Target="https://www.propertypal.com/1059211" TargetMode="External"/><Relationship Id="rId111" Type="http://schemas.openxmlformats.org/officeDocument/2006/relationships/hyperlink" Target="https://www.propertypal.com/808655" TargetMode="External"/><Relationship Id="rId112" Type="http://schemas.openxmlformats.org/officeDocument/2006/relationships/hyperlink" Target="https://www.propertypal.com/1100919" TargetMode="External"/><Relationship Id="rId113" Type="http://schemas.openxmlformats.org/officeDocument/2006/relationships/hyperlink" Target="https://www.propertypal.com/1076768" TargetMode="External"/><Relationship Id="rId114" Type="http://schemas.openxmlformats.org/officeDocument/2006/relationships/hyperlink" Target="https://www.propertypal.com/1106735" TargetMode="External"/><Relationship Id="rId115" Type="http://schemas.openxmlformats.org/officeDocument/2006/relationships/hyperlink" Target="https://www.propertypal.com/1078317" TargetMode="External"/><Relationship Id="rId116" Type="http://schemas.openxmlformats.org/officeDocument/2006/relationships/hyperlink" Target="https://www.propertypal.com/1050395" TargetMode="External"/><Relationship Id="rId117" Type="http://schemas.openxmlformats.org/officeDocument/2006/relationships/hyperlink" Target="https://www.propertypal.com/1074448" TargetMode="External"/><Relationship Id="rId118" Type="http://schemas.openxmlformats.org/officeDocument/2006/relationships/hyperlink" Target="https://www.propertypal.com/1077264" TargetMode="External"/><Relationship Id="rId119" Type="http://schemas.openxmlformats.org/officeDocument/2006/relationships/hyperlink" Target="https://www.propertypal.com/1106745" TargetMode="External"/><Relationship Id="rId120" Type="http://schemas.openxmlformats.org/officeDocument/2006/relationships/hyperlink" Target="https://www.propertypal.com/1060743" TargetMode="External"/><Relationship Id="rId121" Type="http://schemas.openxmlformats.org/officeDocument/2006/relationships/hyperlink" Target="https://www.propertypal.com/1110382" TargetMode="External"/><Relationship Id="rId122" Type="http://schemas.openxmlformats.org/officeDocument/2006/relationships/hyperlink" Target="https://www.propertypal.com/1100790" TargetMode="External"/><Relationship Id="rId123" Type="http://schemas.openxmlformats.org/officeDocument/2006/relationships/hyperlink" Target="https://www.propertypal.com/1088870" TargetMode="External"/><Relationship Id="rId124" Type="http://schemas.openxmlformats.org/officeDocument/2006/relationships/hyperlink" Target="https://www.propertypal.com/1075409" TargetMode="External"/><Relationship Id="rId125" Type="http://schemas.openxmlformats.org/officeDocument/2006/relationships/hyperlink" Target="https://www.propertypal.com/1055135" TargetMode="External"/><Relationship Id="rId126" Type="http://schemas.openxmlformats.org/officeDocument/2006/relationships/hyperlink" Target="https://www.propertypal.com/1084186" TargetMode="External"/><Relationship Id="rId127" Type="http://schemas.openxmlformats.org/officeDocument/2006/relationships/hyperlink" Target="https://www.propertypal.com/1124013" TargetMode="External"/><Relationship Id="rId128" Type="http://schemas.openxmlformats.org/officeDocument/2006/relationships/hyperlink" Target="https://www.propertypal.com/1069115" TargetMode="External"/><Relationship Id="rId129" Type="http://schemas.openxmlformats.org/officeDocument/2006/relationships/hyperlink" Target="https://www.propertypal.com/1046910" TargetMode="External"/><Relationship Id="rId130" Type="http://schemas.openxmlformats.org/officeDocument/2006/relationships/hyperlink" Target="https://www.propertypal.com/1103426" TargetMode="External"/><Relationship Id="rId131" Type="http://schemas.openxmlformats.org/officeDocument/2006/relationships/hyperlink" Target="https://www.propertypal.com/1085202" TargetMode="External"/><Relationship Id="rId132" Type="http://schemas.openxmlformats.org/officeDocument/2006/relationships/hyperlink" Target="https://www.propertypal.com/1098361" TargetMode="External"/><Relationship Id="rId133" Type="http://schemas.openxmlformats.org/officeDocument/2006/relationships/hyperlink" Target="https://www.propertypal.com/1090341" TargetMode="External"/><Relationship Id="rId134" Type="http://schemas.openxmlformats.org/officeDocument/2006/relationships/hyperlink" Target="https://www.propertypal.com/1105349" TargetMode="External"/><Relationship Id="rId135" Type="http://schemas.openxmlformats.org/officeDocument/2006/relationships/hyperlink" Target="https://www.propertypal.com/1129393" TargetMode="External"/><Relationship Id="rId136" Type="http://schemas.openxmlformats.org/officeDocument/2006/relationships/hyperlink" Target="https://www.propertypal.com/1103206" TargetMode="External"/><Relationship Id="rId137" Type="http://schemas.openxmlformats.org/officeDocument/2006/relationships/hyperlink" Target="https://www.propertypal.com/1099262" TargetMode="External"/><Relationship Id="rId138" Type="http://schemas.openxmlformats.org/officeDocument/2006/relationships/hyperlink" Target="https://www.propertypal.com/1081093" TargetMode="External"/><Relationship Id="rId139" Type="http://schemas.openxmlformats.org/officeDocument/2006/relationships/hyperlink" Target="https://www.propertypal.com/1090346" TargetMode="External"/><Relationship Id="rId140" Type="http://schemas.openxmlformats.org/officeDocument/2006/relationships/hyperlink" Target="https://www.propertypal.com/1058258" TargetMode="External"/><Relationship Id="rId141" Type="http://schemas.openxmlformats.org/officeDocument/2006/relationships/hyperlink" Target="https://www.propertypal.com/1096127" TargetMode="External"/><Relationship Id="rId142" Type="http://schemas.openxmlformats.org/officeDocument/2006/relationships/hyperlink" Target="https://www.propertypal.com/1053932" TargetMode="External"/><Relationship Id="rId143" Type="http://schemas.openxmlformats.org/officeDocument/2006/relationships/hyperlink" Target="https://www.propertypal.com/1067022" TargetMode="External"/><Relationship Id="rId144" Type="http://schemas.openxmlformats.org/officeDocument/2006/relationships/hyperlink" Target="https://www.propertypal.com/1094243" TargetMode="External"/><Relationship Id="rId145" Type="http://schemas.openxmlformats.org/officeDocument/2006/relationships/hyperlink" Target="https://www.propertypal.com/1080352" TargetMode="External"/><Relationship Id="rId146" Type="http://schemas.openxmlformats.org/officeDocument/2006/relationships/hyperlink" Target="https://www.propertypal.com/1059017" TargetMode="External"/><Relationship Id="rId147" Type="http://schemas.openxmlformats.org/officeDocument/2006/relationships/hyperlink" Target="https://www.propertypal.com/1089030" TargetMode="External"/><Relationship Id="rId148" Type="http://schemas.openxmlformats.org/officeDocument/2006/relationships/hyperlink" Target="https://www.propertypal.com/1096082" TargetMode="External"/><Relationship Id="rId149" Type="http://schemas.openxmlformats.org/officeDocument/2006/relationships/hyperlink" Target="https://www.propertypal.com/1060146" TargetMode="External"/><Relationship Id="rId150" Type="http://schemas.openxmlformats.org/officeDocument/2006/relationships/hyperlink" Target="https://www.propertypal.com/1094957" TargetMode="External"/><Relationship Id="rId151" Type="http://schemas.openxmlformats.org/officeDocument/2006/relationships/hyperlink" Target="https://www.propertypal.com/1088062" TargetMode="External"/><Relationship Id="rId152" Type="http://schemas.openxmlformats.org/officeDocument/2006/relationships/hyperlink" Target="https://www.propertypal.com/1062309" TargetMode="External"/><Relationship Id="rId153" Type="http://schemas.openxmlformats.org/officeDocument/2006/relationships/hyperlink" Target="https://www.propertypal.com/1077588" TargetMode="External"/><Relationship Id="rId154" Type="http://schemas.openxmlformats.org/officeDocument/2006/relationships/hyperlink" Target="https://www.propertypal.com/1052435" TargetMode="External"/><Relationship Id="rId155" Type="http://schemas.openxmlformats.org/officeDocument/2006/relationships/hyperlink" Target="https://www.propertypal.com/1084646" TargetMode="External"/><Relationship Id="rId156" Type="http://schemas.openxmlformats.org/officeDocument/2006/relationships/hyperlink" Target="https://www.propertypal.com/1086287" TargetMode="External"/><Relationship Id="rId157" Type="http://schemas.openxmlformats.org/officeDocument/2006/relationships/hyperlink" Target="https://www.propertypal.com/1026926" TargetMode="External"/><Relationship Id="rId158" Type="http://schemas.openxmlformats.org/officeDocument/2006/relationships/hyperlink" Target="https://www.propertypal.com/1015682" TargetMode="External"/><Relationship Id="rId159" Type="http://schemas.openxmlformats.org/officeDocument/2006/relationships/hyperlink" Target="https://www.propertypal.com/1106007" TargetMode="External"/><Relationship Id="rId160" Type="http://schemas.openxmlformats.org/officeDocument/2006/relationships/hyperlink" Target="https://www.propertypal.com/1092738" TargetMode="External"/><Relationship Id="rId161" Type="http://schemas.openxmlformats.org/officeDocument/2006/relationships/hyperlink" Target="https://www.propertypal.com/1084360" TargetMode="External"/><Relationship Id="rId162" Type="http://schemas.openxmlformats.org/officeDocument/2006/relationships/hyperlink" Target="https://www.propertypal.com/1066469" TargetMode="External"/><Relationship Id="rId163" Type="http://schemas.openxmlformats.org/officeDocument/2006/relationships/hyperlink" Target="https://www.propertypal.com/1074159" TargetMode="External"/><Relationship Id="rId164" Type="http://schemas.openxmlformats.org/officeDocument/2006/relationships/hyperlink" Target="https://www.propertypal.com/1085357" TargetMode="External"/><Relationship Id="rId165" Type="http://schemas.openxmlformats.org/officeDocument/2006/relationships/hyperlink" Target="https://www.propertypal.com/1087815" TargetMode="External"/><Relationship Id="rId166" Type="http://schemas.openxmlformats.org/officeDocument/2006/relationships/hyperlink" Target="https://www.propertypal.com/1099858" TargetMode="External"/><Relationship Id="rId167" Type="http://schemas.openxmlformats.org/officeDocument/2006/relationships/hyperlink" Target="https://www.propertypal.com/1097995" TargetMode="External"/><Relationship Id="rId168" Type="http://schemas.openxmlformats.org/officeDocument/2006/relationships/hyperlink" Target="https://www.propertypal.com/1100896" TargetMode="External"/><Relationship Id="rId169" Type="http://schemas.openxmlformats.org/officeDocument/2006/relationships/hyperlink" Target="https://www.propertypal.com/1072714" TargetMode="External"/><Relationship Id="rId170" Type="http://schemas.openxmlformats.org/officeDocument/2006/relationships/hyperlink" Target="https://www.propertypal.com/1071363" TargetMode="External"/><Relationship Id="rId171" Type="http://schemas.openxmlformats.org/officeDocument/2006/relationships/hyperlink" Target="https://www.propertypal.com/1051666" TargetMode="External"/><Relationship Id="rId172" Type="http://schemas.openxmlformats.org/officeDocument/2006/relationships/hyperlink" Target="https://www.propertypal.com/1092635" TargetMode="External"/><Relationship Id="rId173" Type="http://schemas.openxmlformats.org/officeDocument/2006/relationships/hyperlink" Target="https://www.propertypal.com/1086477" TargetMode="External"/><Relationship Id="rId174" Type="http://schemas.openxmlformats.org/officeDocument/2006/relationships/hyperlink" Target="https://www.propertypal.com/1056401" TargetMode="External"/><Relationship Id="rId175" Type="http://schemas.openxmlformats.org/officeDocument/2006/relationships/hyperlink" Target="https://www.propertypal.com/1096500" TargetMode="External"/><Relationship Id="rId176" Type="http://schemas.openxmlformats.org/officeDocument/2006/relationships/hyperlink" Target="https://www.propertypal.com/1058478" TargetMode="External"/><Relationship Id="rId177" Type="http://schemas.openxmlformats.org/officeDocument/2006/relationships/hyperlink" Target="https://www.propertypal.com/1032432" TargetMode="External"/><Relationship Id="rId178" Type="http://schemas.openxmlformats.org/officeDocument/2006/relationships/hyperlink" Target="https://www.propertypal.com/1078858" TargetMode="External"/><Relationship Id="rId179" Type="http://schemas.openxmlformats.org/officeDocument/2006/relationships/hyperlink" Target="https://www.propertypal.com/1058783" TargetMode="External"/><Relationship Id="rId180" Type="http://schemas.openxmlformats.org/officeDocument/2006/relationships/hyperlink" Target="https://www.propertypal.com/1041361" TargetMode="External"/><Relationship Id="rId181" Type="http://schemas.openxmlformats.org/officeDocument/2006/relationships/hyperlink" Target="https://www.propertypal.com/1057027" TargetMode="External"/><Relationship Id="rId182" Type="http://schemas.openxmlformats.org/officeDocument/2006/relationships/hyperlink" Target="https://www.propertypal.com/1105931" TargetMode="External"/><Relationship Id="rId183" Type="http://schemas.openxmlformats.org/officeDocument/2006/relationships/hyperlink" Target="https://www.propertypal.com/1081172" TargetMode="External"/><Relationship Id="rId184" Type="http://schemas.openxmlformats.org/officeDocument/2006/relationships/hyperlink" Target="https://www.propertypal.com/1041387" TargetMode="External"/><Relationship Id="rId185" Type="http://schemas.openxmlformats.org/officeDocument/2006/relationships/hyperlink" Target="https://www.propertypal.com/1064485" TargetMode="External"/><Relationship Id="rId186" Type="http://schemas.openxmlformats.org/officeDocument/2006/relationships/hyperlink" Target="https://www.propertypal.com/1096778" TargetMode="External"/><Relationship Id="rId187" Type="http://schemas.openxmlformats.org/officeDocument/2006/relationships/hyperlink" Target="https://www.propertypal.com/1071562" TargetMode="External"/><Relationship Id="rId188" Type="http://schemas.openxmlformats.org/officeDocument/2006/relationships/hyperlink" Target="https://www.propertypal.com/1083190" TargetMode="External"/><Relationship Id="rId189" Type="http://schemas.openxmlformats.org/officeDocument/2006/relationships/hyperlink" Target="https://www.propertypal.com/1051795" TargetMode="External"/><Relationship Id="rId190" Type="http://schemas.openxmlformats.org/officeDocument/2006/relationships/hyperlink" Target="https://www.propertypal.com/1065690" TargetMode="External"/><Relationship Id="rId191" Type="http://schemas.openxmlformats.org/officeDocument/2006/relationships/hyperlink" Target="https://www.propertypal.com/1101811" TargetMode="External"/><Relationship Id="rId192" Type="http://schemas.openxmlformats.org/officeDocument/2006/relationships/hyperlink" Target="https://www.propertypal.com/1099136" TargetMode="External"/><Relationship Id="rId193" Type="http://schemas.openxmlformats.org/officeDocument/2006/relationships/hyperlink" Target="https://www.propertypal.com/1086026" TargetMode="External"/><Relationship Id="rId194" Type="http://schemas.openxmlformats.org/officeDocument/2006/relationships/hyperlink" Target="https://www.propertypal.com/1099832" TargetMode="External"/><Relationship Id="rId195" Type="http://schemas.openxmlformats.org/officeDocument/2006/relationships/hyperlink" Target="https://www.propertypal.com/1095193" TargetMode="External"/><Relationship Id="rId196" Type="http://schemas.openxmlformats.org/officeDocument/2006/relationships/hyperlink" Target="https://www.propertypal.com/1096598" TargetMode="External"/><Relationship Id="rId197" Type="http://schemas.openxmlformats.org/officeDocument/2006/relationships/hyperlink" Target="https://www.propertypal.com/1091029" TargetMode="External"/><Relationship Id="rId198" Type="http://schemas.openxmlformats.org/officeDocument/2006/relationships/hyperlink" Target="https://www.propertypal.com/1068867" TargetMode="External"/><Relationship Id="rId199" Type="http://schemas.openxmlformats.org/officeDocument/2006/relationships/hyperlink" Target="https://www.propertypal.com/1038397" TargetMode="External"/><Relationship Id="rId200" Type="http://schemas.openxmlformats.org/officeDocument/2006/relationships/hyperlink" Target="https://www.propertypal.com/1111007" TargetMode="External"/><Relationship Id="rId201" Type="http://schemas.openxmlformats.org/officeDocument/2006/relationships/hyperlink" Target="https://www.propertypal.com/1055632" TargetMode="External"/><Relationship Id="rId202" Type="http://schemas.openxmlformats.org/officeDocument/2006/relationships/hyperlink" Target="https://www.propertypal.com/1061527" TargetMode="External"/><Relationship Id="rId203" Type="http://schemas.openxmlformats.org/officeDocument/2006/relationships/hyperlink" Target="https://www.propertypal.com/1057057" TargetMode="External"/><Relationship Id="rId204" Type="http://schemas.openxmlformats.org/officeDocument/2006/relationships/hyperlink" Target="https://www.propertypal.com/1085616" TargetMode="External"/><Relationship Id="rId205" Type="http://schemas.openxmlformats.org/officeDocument/2006/relationships/hyperlink" Target="https://www.propertypal.com/1075389" TargetMode="External"/><Relationship Id="rId206" Type="http://schemas.openxmlformats.org/officeDocument/2006/relationships/hyperlink" Target="https://www.propertypal.com/1097002" TargetMode="External"/><Relationship Id="rId207" Type="http://schemas.openxmlformats.org/officeDocument/2006/relationships/hyperlink" Target="https://www.propertypal.com/1068476" TargetMode="External"/><Relationship Id="rId208" Type="http://schemas.openxmlformats.org/officeDocument/2006/relationships/hyperlink" Target="https://www.propertypal.com/1129396" TargetMode="External"/><Relationship Id="rId209" Type="http://schemas.openxmlformats.org/officeDocument/2006/relationships/hyperlink" Target="https://www.propertypal.com/1106657" TargetMode="External"/><Relationship Id="rId210" Type="http://schemas.openxmlformats.org/officeDocument/2006/relationships/hyperlink" Target="https://www.propertypal.com/1077753" TargetMode="External"/><Relationship Id="rId211" Type="http://schemas.openxmlformats.org/officeDocument/2006/relationships/hyperlink" Target="https://www.propertypal.com/1089979" TargetMode="External"/><Relationship Id="rId212" Type="http://schemas.openxmlformats.org/officeDocument/2006/relationships/hyperlink" Target="https://www.propertypal.com/1095105" TargetMode="External"/><Relationship Id="rId213" Type="http://schemas.openxmlformats.org/officeDocument/2006/relationships/hyperlink" Target="https://www.propertypal.com/1075553" TargetMode="External"/><Relationship Id="rId214" Type="http://schemas.openxmlformats.org/officeDocument/2006/relationships/hyperlink" Target="https://www.propertypal.com/1084138" TargetMode="External"/><Relationship Id="rId215" Type="http://schemas.openxmlformats.org/officeDocument/2006/relationships/hyperlink" Target="https://www.propertypal.com/1125152" TargetMode="External"/><Relationship Id="rId216" Type="http://schemas.openxmlformats.org/officeDocument/2006/relationships/hyperlink" Target="https://www.propertypal.com/1101699" TargetMode="External"/><Relationship Id="rId217" Type="http://schemas.openxmlformats.org/officeDocument/2006/relationships/hyperlink" Target="https://www.propertypal.com/1060319" TargetMode="External"/><Relationship Id="rId218" Type="http://schemas.openxmlformats.org/officeDocument/2006/relationships/hyperlink" Target="https://www.propertypal.com/1067007" TargetMode="External"/><Relationship Id="rId219" Type="http://schemas.openxmlformats.org/officeDocument/2006/relationships/hyperlink" Target="https://www.propertypal.com/1083914" TargetMode="External"/><Relationship Id="rId220" Type="http://schemas.openxmlformats.org/officeDocument/2006/relationships/hyperlink" Target="https://www.propertypal.com/1069459" TargetMode="External"/><Relationship Id="rId221" Type="http://schemas.openxmlformats.org/officeDocument/2006/relationships/hyperlink" Target="https://www.propertypal.com/1085238" TargetMode="External"/><Relationship Id="rId222" Type="http://schemas.openxmlformats.org/officeDocument/2006/relationships/hyperlink" Target="https://www.propertypal.com/1124093" TargetMode="External"/><Relationship Id="rId223" Type="http://schemas.openxmlformats.org/officeDocument/2006/relationships/hyperlink" Target="https://www.propertypal.com/1081879" TargetMode="External"/><Relationship Id="rId224" Type="http://schemas.openxmlformats.org/officeDocument/2006/relationships/hyperlink" Target="https://www.propertypal.com/1079299" TargetMode="External"/><Relationship Id="rId225" Type="http://schemas.openxmlformats.org/officeDocument/2006/relationships/hyperlink" Target="https://www.propertypal.com/1084787" TargetMode="External"/><Relationship Id="rId226" Type="http://schemas.openxmlformats.org/officeDocument/2006/relationships/hyperlink" Target="https://www.propertypal.com/1092032" TargetMode="External"/><Relationship Id="rId227" Type="http://schemas.openxmlformats.org/officeDocument/2006/relationships/hyperlink" Target="https://www.propertypal.com/1085070" TargetMode="External"/><Relationship Id="rId228" Type="http://schemas.openxmlformats.org/officeDocument/2006/relationships/hyperlink" Target="https://www.propertypal.com/1100142" TargetMode="External"/><Relationship Id="rId229" Type="http://schemas.openxmlformats.org/officeDocument/2006/relationships/hyperlink" Target="https://www.propertypal.com/1066634" TargetMode="External"/><Relationship Id="rId230" Type="http://schemas.openxmlformats.org/officeDocument/2006/relationships/hyperlink" Target="https://www.propertypal.com/1089928" TargetMode="External"/><Relationship Id="rId23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8"/>
    <col collapsed="false" customWidth="true" hidden="false" outlineLevel="0" max="3" min="3" style="0" width="13"/>
    <col collapsed="false" customWidth="true" hidden="false" outlineLevel="0" max="4" min="4" style="0" width="10"/>
    <col collapsed="false" customWidth="true" hidden="false" outlineLevel="0" max="5" min="5" style="0" width="14"/>
    <col collapsed="false" customWidth="true" hidden="false" outlineLevel="0" max="6" min="6" style="0" width="24"/>
    <col collapsed="false" customWidth="true" hidden="false" outlineLevel="0" max="7" min="7" style="0" width="14"/>
    <col collapsed="false" customWidth="true" hidden="false" outlineLevel="0" max="8" min="8" style="0" width="40"/>
  </cols>
  <sheetData>
    <row r="1" customFormat="false" ht="30" hidden="false" customHeight="tru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3" t="n">
        <v>2</v>
      </c>
      <c r="C2" s="4" t="n">
        <v>89950</v>
      </c>
      <c r="D2" s="3" t="s">
        <v>9</v>
      </c>
      <c r="E2" s="3" t="s">
        <v>10</v>
      </c>
      <c r="F2" s="2" t="s">
        <v>11</v>
      </c>
      <c r="G2" s="3" t="s">
        <v>12</v>
      </c>
      <c r="H2" s="5" t="s">
        <v>13</v>
      </c>
    </row>
    <row r="3" customFormat="false" ht="15" hidden="false" customHeight="false" outlineLevel="0" collapsed="false">
      <c r="A3" s="2" t="s">
        <v>14</v>
      </c>
      <c r="B3" s="3" t="n">
        <v>2</v>
      </c>
      <c r="C3" s="4" t="n">
        <v>99950</v>
      </c>
      <c r="D3" s="3" t="s">
        <v>9</v>
      </c>
      <c r="E3" s="3" t="s">
        <v>15</v>
      </c>
      <c r="F3" s="2" t="s">
        <v>16</v>
      </c>
      <c r="G3" s="3" t="s">
        <v>17</v>
      </c>
      <c r="H3" s="5" t="s">
        <v>18</v>
      </c>
    </row>
    <row r="4" customFormat="false" ht="15" hidden="false" customHeight="false" outlineLevel="0" collapsed="false">
      <c r="A4" s="2" t="s">
        <v>19</v>
      </c>
      <c r="B4" s="3" t="n">
        <v>2</v>
      </c>
      <c r="C4" s="4" t="n">
        <v>110000</v>
      </c>
      <c r="D4" s="3" t="s">
        <v>9</v>
      </c>
      <c r="E4" s="3" t="s">
        <v>20</v>
      </c>
      <c r="F4" s="2" t="s">
        <v>16</v>
      </c>
      <c r="G4" s="3" t="s">
        <v>21</v>
      </c>
      <c r="H4" s="5" t="s">
        <v>22</v>
      </c>
    </row>
    <row r="5" customFormat="false" ht="15" hidden="false" customHeight="false" outlineLevel="0" collapsed="false">
      <c r="A5" s="2" t="s">
        <v>23</v>
      </c>
      <c r="B5" s="3" t="n">
        <v>2</v>
      </c>
      <c r="C5" s="4" t="n">
        <v>124950</v>
      </c>
      <c r="D5" s="3" t="s">
        <v>9</v>
      </c>
      <c r="E5" s="3" t="s">
        <v>24</v>
      </c>
      <c r="F5" s="2" t="s">
        <v>16</v>
      </c>
      <c r="G5" s="3" t="s">
        <v>25</v>
      </c>
      <c r="H5" s="5" t="s">
        <v>26</v>
      </c>
    </row>
    <row r="6" customFormat="false" ht="15" hidden="false" customHeight="false" outlineLevel="0" collapsed="false">
      <c r="A6" s="2" t="s">
        <v>27</v>
      </c>
      <c r="B6" s="3" t="n">
        <v>2</v>
      </c>
      <c r="C6" s="4" t="n">
        <v>125000</v>
      </c>
      <c r="D6" s="3" t="s">
        <v>9</v>
      </c>
      <c r="E6" s="3" t="s">
        <v>28</v>
      </c>
      <c r="F6" s="2" t="s">
        <v>16</v>
      </c>
      <c r="G6" s="3" t="s">
        <v>12</v>
      </c>
      <c r="H6" s="5" t="s">
        <v>29</v>
      </c>
    </row>
    <row r="7" customFormat="false" ht="15" hidden="false" customHeight="false" outlineLevel="0" collapsed="false">
      <c r="A7" s="2" t="s">
        <v>30</v>
      </c>
      <c r="B7" s="3" t="n">
        <v>2</v>
      </c>
      <c r="C7" s="4" t="n">
        <v>135000</v>
      </c>
      <c r="D7" s="3" t="s">
        <v>9</v>
      </c>
      <c r="E7" s="3" t="s">
        <v>31</v>
      </c>
      <c r="F7" s="2" t="s">
        <v>11</v>
      </c>
      <c r="G7" s="3" t="s">
        <v>25</v>
      </c>
      <c r="H7" s="5" t="s">
        <v>32</v>
      </c>
    </row>
    <row r="8" customFormat="false" ht="15" hidden="false" customHeight="false" outlineLevel="0" collapsed="false">
      <c r="A8" s="2" t="s">
        <v>33</v>
      </c>
      <c r="B8" s="3" t="n">
        <v>2</v>
      </c>
      <c r="C8" s="4" t="n">
        <v>139950</v>
      </c>
      <c r="D8" s="3" t="s">
        <v>9</v>
      </c>
      <c r="E8" s="3" t="s">
        <v>34</v>
      </c>
      <c r="F8" s="2" t="s">
        <v>16</v>
      </c>
      <c r="G8" s="3" t="s">
        <v>12</v>
      </c>
      <c r="H8" s="5" t="s">
        <v>35</v>
      </c>
    </row>
    <row r="9" customFormat="false" ht="15" hidden="false" customHeight="false" outlineLevel="0" collapsed="false">
      <c r="A9" s="2" t="s">
        <v>36</v>
      </c>
      <c r="B9" s="3" t="n">
        <v>2</v>
      </c>
      <c r="C9" s="4" t="n">
        <v>139950</v>
      </c>
      <c r="D9" s="3" t="s">
        <v>9</v>
      </c>
      <c r="E9" s="3" t="s">
        <v>37</v>
      </c>
      <c r="F9" s="2" t="s">
        <v>16</v>
      </c>
      <c r="G9" s="3" t="s">
        <v>25</v>
      </c>
      <c r="H9" s="5" t="s">
        <v>38</v>
      </c>
    </row>
    <row r="10" customFormat="false" ht="15" hidden="false" customHeight="false" outlineLevel="0" collapsed="false">
      <c r="A10" s="2" t="s">
        <v>39</v>
      </c>
      <c r="B10" s="3" t="n">
        <v>2</v>
      </c>
      <c r="C10" s="4" t="n">
        <v>149950</v>
      </c>
      <c r="D10" s="3" t="s">
        <v>9</v>
      </c>
      <c r="E10" s="3" t="s">
        <v>40</v>
      </c>
      <c r="F10" s="2" t="s">
        <v>16</v>
      </c>
      <c r="G10" s="3" t="s">
        <v>21</v>
      </c>
      <c r="H10" s="5" t="s">
        <v>41</v>
      </c>
    </row>
    <row r="11" customFormat="false" ht="15" hidden="false" customHeight="false" outlineLevel="0" collapsed="false">
      <c r="A11" s="2" t="s">
        <v>42</v>
      </c>
      <c r="B11" s="3" t="n">
        <v>2</v>
      </c>
      <c r="C11" s="4" t="n">
        <v>149950</v>
      </c>
      <c r="D11" s="3" t="s">
        <v>9</v>
      </c>
      <c r="E11" s="3" t="s">
        <v>43</v>
      </c>
      <c r="F11" s="2" t="s">
        <v>16</v>
      </c>
      <c r="G11" s="3" t="s">
        <v>17</v>
      </c>
      <c r="H11" s="5" t="s">
        <v>44</v>
      </c>
    </row>
    <row r="12" customFormat="false" ht="15" hidden="false" customHeight="false" outlineLevel="0" collapsed="false">
      <c r="A12" s="2" t="s">
        <v>45</v>
      </c>
      <c r="B12" s="3" t="n">
        <v>2</v>
      </c>
      <c r="C12" s="4" t="n">
        <v>150000</v>
      </c>
      <c r="D12" s="3" t="s">
        <v>9</v>
      </c>
      <c r="E12" s="3" t="s">
        <v>46</v>
      </c>
      <c r="F12" s="2" t="s">
        <v>11</v>
      </c>
      <c r="G12" s="3" t="s">
        <v>17</v>
      </c>
      <c r="H12" s="5" t="s">
        <v>47</v>
      </c>
    </row>
    <row r="13" customFormat="false" ht="15" hidden="false" customHeight="false" outlineLevel="0" collapsed="false">
      <c r="A13" s="2" t="s">
        <v>48</v>
      </c>
      <c r="B13" s="3" t="n">
        <v>2</v>
      </c>
      <c r="C13" s="4" t="n">
        <v>159950</v>
      </c>
      <c r="D13" s="3" t="s">
        <v>9</v>
      </c>
      <c r="E13" s="3" t="s">
        <v>49</v>
      </c>
      <c r="F13" s="2" t="s">
        <v>11</v>
      </c>
      <c r="G13" s="3" t="s">
        <v>25</v>
      </c>
      <c r="H13" s="5" t="s">
        <v>50</v>
      </c>
    </row>
    <row r="14" customFormat="false" ht="15" hidden="false" customHeight="false" outlineLevel="0" collapsed="false">
      <c r="A14" s="2" t="s">
        <v>51</v>
      </c>
      <c r="B14" s="3" t="n">
        <v>2</v>
      </c>
      <c r="C14" s="4" t="n">
        <v>159950</v>
      </c>
      <c r="D14" s="3" t="s">
        <v>9</v>
      </c>
      <c r="E14" s="3" t="s">
        <v>52</v>
      </c>
      <c r="F14" s="2" t="s">
        <v>16</v>
      </c>
      <c r="G14" s="3" t="s">
        <v>17</v>
      </c>
      <c r="H14" s="5" t="s">
        <v>53</v>
      </c>
    </row>
    <row r="15" customFormat="false" ht="15" hidden="false" customHeight="false" outlineLevel="0" collapsed="false">
      <c r="A15" s="2" t="s">
        <v>54</v>
      </c>
      <c r="B15" s="3" t="n">
        <v>2</v>
      </c>
      <c r="C15" s="4" t="n">
        <v>164950</v>
      </c>
      <c r="D15" s="3" t="s">
        <v>9</v>
      </c>
      <c r="E15" s="3" t="s">
        <v>55</v>
      </c>
      <c r="F15" s="2" t="s">
        <v>11</v>
      </c>
      <c r="G15" s="3" t="s">
        <v>21</v>
      </c>
      <c r="H15" s="5" t="s">
        <v>56</v>
      </c>
    </row>
    <row r="16" customFormat="false" ht="15" hidden="false" customHeight="false" outlineLevel="0" collapsed="false">
      <c r="A16" s="2" t="s">
        <v>57</v>
      </c>
      <c r="B16" s="3" t="n">
        <v>2</v>
      </c>
      <c r="C16" s="4" t="n">
        <v>169950</v>
      </c>
      <c r="D16" s="3" t="s">
        <v>9</v>
      </c>
      <c r="E16" s="3" t="s">
        <v>58</v>
      </c>
      <c r="F16" s="2" t="s">
        <v>59</v>
      </c>
      <c r="G16" s="3" t="s">
        <v>25</v>
      </c>
      <c r="H16" s="5" t="s">
        <v>60</v>
      </c>
    </row>
    <row r="17" customFormat="false" ht="15" hidden="false" customHeight="false" outlineLevel="0" collapsed="false">
      <c r="A17" s="2" t="s">
        <v>61</v>
      </c>
      <c r="B17" s="3" t="n">
        <v>2</v>
      </c>
      <c r="C17" s="4" t="n">
        <v>169950</v>
      </c>
      <c r="D17" s="3" t="s">
        <v>9</v>
      </c>
      <c r="E17" s="3" t="s">
        <v>62</v>
      </c>
      <c r="F17" s="2" t="s">
        <v>16</v>
      </c>
      <c r="G17" s="3" t="s">
        <v>21</v>
      </c>
      <c r="H17" s="5" t="s">
        <v>63</v>
      </c>
    </row>
    <row r="18" customFormat="false" ht="15" hidden="false" customHeight="false" outlineLevel="0" collapsed="false">
      <c r="A18" s="2" t="s">
        <v>64</v>
      </c>
      <c r="B18" s="3" t="n">
        <v>2</v>
      </c>
      <c r="C18" s="4" t="n">
        <v>170000</v>
      </c>
      <c r="D18" s="3" t="s">
        <v>9</v>
      </c>
      <c r="E18" s="3" t="s">
        <v>65</v>
      </c>
      <c r="F18" s="2" t="s">
        <v>11</v>
      </c>
      <c r="G18" s="3" t="s">
        <v>12</v>
      </c>
      <c r="H18" s="5" t="s">
        <v>66</v>
      </c>
    </row>
    <row r="19" customFormat="false" ht="15" hidden="false" customHeight="false" outlineLevel="0" collapsed="false">
      <c r="A19" s="2" t="s">
        <v>67</v>
      </c>
      <c r="B19" s="3" t="n">
        <v>2</v>
      </c>
      <c r="C19" s="4" t="n">
        <v>170000</v>
      </c>
      <c r="D19" s="3" t="s">
        <v>9</v>
      </c>
      <c r="E19" s="3" t="s">
        <v>68</v>
      </c>
      <c r="F19" s="2" t="s">
        <v>69</v>
      </c>
      <c r="G19" s="3" t="s">
        <v>12</v>
      </c>
      <c r="H19" s="5" t="s">
        <v>70</v>
      </c>
    </row>
    <row r="20" customFormat="false" ht="15" hidden="false" customHeight="false" outlineLevel="0" collapsed="false">
      <c r="A20" s="2" t="s">
        <v>71</v>
      </c>
      <c r="B20" s="3" t="n">
        <v>2</v>
      </c>
      <c r="C20" s="4" t="n">
        <v>175000</v>
      </c>
      <c r="D20" s="3" t="s">
        <v>9</v>
      </c>
      <c r="E20" s="3" t="s">
        <v>72</v>
      </c>
      <c r="F20" s="2" t="s">
        <v>59</v>
      </c>
      <c r="G20" s="3" t="s">
        <v>12</v>
      </c>
      <c r="H20" s="5" t="s">
        <v>73</v>
      </c>
    </row>
    <row r="21" customFormat="false" ht="15" hidden="false" customHeight="false" outlineLevel="0" collapsed="false">
      <c r="A21" s="2" t="s">
        <v>74</v>
      </c>
      <c r="B21" s="3" t="n">
        <v>2</v>
      </c>
      <c r="C21" s="4" t="n">
        <v>175000</v>
      </c>
      <c r="D21" s="3" t="s">
        <v>9</v>
      </c>
      <c r="E21" s="3" t="s">
        <v>75</v>
      </c>
      <c r="F21" s="2" t="s">
        <v>59</v>
      </c>
      <c r="G21" s="3" t="s">
        <v>12</v>
      </c>
      <c r="H21" s="5" t="s">
        <v>76</v>
      </c>
    </row>
    <row r="22" customFormat="false" ht="15" hidden="false" customHeight="false" outlineLevel="0" collapsed="false">
      <c r="A22" s="2" t="s">
        <v>77</v>
      </c>
      <c r="B22" s="3" t="n">
        <v>2</v>
      </c>
      <c r="C22" s="4" t="n">
        <v>175000</v>
      </c>
      <c r="D22" s="3" t="s">
        <v>9</v>
      </c>
      <c r="E22" s="3" t="s">
        <v>78</v>
      </c>
      <c r="F22" s="2" t="s">
        <v>16</v>
      </c>
      <c r="G22" s="3" t="s">
        <v>12</v>
      </c>
      <c r="H22" s="5" t="s">
        <v>79</v>
      </c>
    </row>
    <row r="23" customFormat="false" ht="15" hidden="false" customHeight="false" outlineLevel="0" collapsed="false">
      <c r="A23" s="2" t="s">
        <v>80</v>
      </c>
      <c r="B23" s="3" t="n">
        <v>2</v>
      </c>
      <c r="C23" s="4" t="n">
        <v>179950</v>
      </c>
      <c r="D23" s="3" t="s">
        <v>9</v>
      </c>
      <c r="E23" s="3" t="s">
        <v>62</v>
      </c>
      <c r="F23" s="2" t="s">
        <v>81</v>
      </c>
      <c r="G23" s="3" t="s">
        <v>25</v>
      </c>
      <c r="H23" s="5" t="s">
        <v>82</v>
      </c>
    </row>
    <row r="24" customFormat="false" ht="15" hidden="false" customHeight="false" outlineLevel="0" collapsed="false">
      <c r="A24" s="2" t="s">
        <v>83</v>
      </c>
      <c r="B24" s="3" t="n">
        <v>2</v>
      </c>
      <c r="C24" s="4" t="n">
        <v>179950</v>
      </c>
      <c r="D24" s="3" t="s">
        <v>9</v>
      </c>
      <c r="E24" s="3" t="s">
        <v>84</v>
      </c>
      <c r="F24" s="2" t="s">
        <v>85</v>
      </c>
      <c r="G24" s="3" t="s">
        <v>25</v>
      </c>
      <c r="H24" s="5" t="s">
        <v>86</v>
      </c>
    </row>
    <row r="25" customFormat="false" ht="15" hidden="false" customHeight="false" outlineLevel="0" collapsed="false">
      <c r="A25" s="2" t="s">
        <v>87</v>
      </c>
      <c r="B25" s="3" t="n">
        <v>2</v>
      </c>
      <c r="C25" s="4" t="n">
        <v>179950</v>
      </c>
      <c r="D25" s="3" t="s">
        <v>9</v>
      </c>
      <c r="E25" s="3" t="s">
        <v>88</v>
      </c>
      <c r="F25" s="2" t="s">
        <v>16</v>
      </c>
      <c r="G25" s="3" t="s">
        <v>25</v>
      </c>
      <c r="H25" s="5" t="s">
        <v>89</v>
      </c>
    </row>
    <row r="26" customFormat="false" ht="15" hidden="false" customHeight="false" outlineLevel="0" collapsed="false">
      <c r="A26" s="2" t="s">
        <v>90</v>
      </c>
      <c r="B26" s="3" t="n">
        <v>2</v>
      </c>
      <c r="C26" s="4" t="n">
        <v>180000</v>
      </c>
      <c r="D26" s="3" t="s">
        <v>9</v>
      </c>
      <c r="E26" s="3" t="s">
        <v>91</v>
      </c>
      <c r="F26" s="2" t="s">
        <v>92</v>
      </c>
      <c r="G26" s="3" t="s">
        <v>25</v>
      </c>
      <c r="H26" s="5" t="s">
        <v>93</v>
      </c>
    </row>
    <row r="27" customFormat="false" ht="15" hidden="false" customHeight="false" outlineLevel="0" collapsed="false">
      <c r="A27" s="2" t="s">
        <v>94</v>
      </c>
      <c r="B27" s="3" t="n">
        <v>2</v>
      </c>
      <c r="C27" s="4" t="n">
        <v>184950</v>
      </c>
      <c r="D27" s="3" t="s">
        <v>9</v>
      </c>
      <c r="E27" s="3" t="s">
        <v>95</v>
      </c>
      <c r="F27" s="2" t="s">
        <v>59</v>
      </c>
      <c r="G27" s="3" t="s">
        <v>12</v>
      </c>
      <c r="H27" s="5" t="s">
        <v>96</v>
      </c>
    </row>
    <row r="28" customFormat="false" ht="15" hidden="false" customHeight="false" outlineLevel="0" collapsed="false">
      <c r="A28" s="2" t="s">
        <v>97</v>
      </c>
      <c r="B28" s="3" t="n">
        <v>2</v>
      </c>
      <c r="C28" s="4" t="n">
        <v>189950</v>
      </c>
      <c r="D28" s="3" t="s">
        <v>9</v>
      </c>
      <c r="E28" s="3" t="s">
        <v>98</v>
      </c>
      <c r="F28" s="2" t="s">
        <v>11</v>
      </c>
      <c r="G28" s="3" t="s">
        <v>21</v>
      </c>
      <c r="H28" s="5" t="s">
        <v>99</v>
      </c>
    </row>
    <row r="29" customFormat="false" ht="15" hidden="false" customHeight="false" outlineLevel="0" collapsed="false">
      <c r="A29" s="2" t="s">
        <v>100</v>
      </c>
      <c r="B29" s="3" t="n">
        <v>2</v>
      </c>
      <c r="C29" s="4" t="n">
        <v>190000</v>
      </c>
      <c r="D29" s="3" t="s">
        <v>9</v>
      </c>
      <c r="E29" s="3" t="s">
        <v>62</v>
      </c>
      <c r="F29" s="2" t="s">
        <v>101</v>
      </c>
      <c r="G29" s="3" t="s">
        <v>21</v>
      </c>
      <c r="H29" s="5" t="s">
        <v>102</v>
      </c>
    </row>
    <row r="30" customFormat="false" ht="15" hidden="false" customHeight="false" outlineLevel="0" collapsed="false">
      <c r="A30" s="2" t="s">
        <v>103</v>
      </c>
      <c r="B30" s="3" t="n">
        <v>2</v>
      </c>
      <c r="C30" s="4" t="n">
        <v>199950</v>
      </c>
      <c r="D30" s="3" t="s">
        <v>9</v>
      </c>
      <c r="E30" s="3" t="s">
        <v>98</v>
      </c>
      <c r="F30" s="2" t="s">
        <v>16</v>
      </c>
      <c r="G30" s="3" t="s">
        <v>17</v>
      </c>
      <c r="H30" s="5" t="s">
        <v>104</v>
      </c>
    </row>
    <row r="31" customFormat="false" ht="15" hidden="false" customHeight="false" outlineLevel="0" collapsed="false">
      <c r="A31" s="2" t="s">
        <v>105</v>
      </c>
      <c r="B31" s="3" t="n">
        <v>2</v>
      </c>
      <c r="C31" s="4" t="n">
        <v>199950</v>
      </c>
      <c r="D31" s="3" t="s">
        <v>9</v>
      </c>
      <c r="E31" s="3" t="s">
        <v>106</v>
      </c>
      <c r="F31" s="2" t="s">
        <v>85</v>
      </c>
      <c r="G31" s="3" t="s">
        <v>17</v>
      </c>
      <c r="H31" s="5" t="s">
        <v>107</v>
      </c>
    </row>
    <row r="32" customFormat="false" ht="15" hidden="false" customHeight="false" outlineLevel="0" collapsed="false">
      <c r="A32" s="2" t="s">
        <v>108</v>
      </c>
      <c r="B32" s="3" t="n">
        <v>2</v>
      </c>
      <c r="C32" s="4" t="n">
        <v>199950</v>
      </c>
      <c r="D32" s="3" t="s">
        <v>9</v>
      </c>
      <c r="E32" s="3" t="s">
        <v>109</v>
      </c>
      <c r="F32" s="2" t="s">
        <v>16</v>
      </c>
      <c r="G32" s="3" t="s">
        <v>25</v>
      </c>
      <c r="H32" s="5" t="s">
        <v>110</v>
      </c>
    </row>
    <row r="33" customFormat="false" ht="15" hidden="false" customHeight="false" outlineLevel="0" collapsed="false">
      <c r="A33" s="2" t="s">
        <v>111</v>
      </c>
      <c r="B33" s="3" t="n">
        <v>2</v>
      </c>
      <c r="C33" s="4" t="n">
        <v>200000</v>
      </c>
      <c r="D33" s="3" t="s">
        <v>9</v>
      </c>
      <c r="E33" s="3" t="s">
        <v>91</v>
      </c>
      <c r="F33" s="2" t="s">
        <v>101</v>
      </c>
      <c r="G33" s="3" t="s">
        <v>17</v>
      </c>
      <c r="H33" s="5" t="s">
        <v>112</v>
      </c>
    </row>
    <row r="34" customFormat="false" ht="15" hidden="false" customHeight="false" outlineLevel="0" collapsed="false">
      <c r="A34" s="2" t="s">
        <v>113</v>
      </c>
      <c r="B34" s="3" t="n">
        <v>2</v>
      </c>
      <c r="C34" s="4" t="n">
        <v>200000</v>
      </c>
      <c r="D34" s="3" t="s">
        <v>9</v>
      </c>
      <c r="E34" s="3" t="s">
        <v>114</v>
      </c>
      <c r="F34" s="2" t="s">
        <v>16</v>
      </c>
      <c r="G34" s="3" t="s">
        <v>17</v>
      </c>
      <c r="H34" s="5" t="s">
        <v>115</v>
      </c>
    </row>
    <row r="35" customFormat="false" ht="15" hidden="false" customHeight="false" outlineLevel="0" collapsed="false">
      <c r="A35" s="2" t="s">
        <v>116</v>
      </c>
      <c r="B35" s="3" t="n">
        <v>2</v>
      </c>
      <c r="C35" s="4" t="n">
        <v>205000</v>
      </c>
      <c r="D35" s="3" t="s">
        <v>9</v>
      </c>
      <c r="E35" s="3" t="s">
        <v>98</v>
      </c>
      <c r="F35" s="2" t="s">
        <v>16</v>
      </c>
      <c r="G35" s="3" t="s">
        <v>17</v>
      </c>
      <c r="H35" s="5" t="s">
        <v>117</v>
      </c>
    </row>
    <row r="36" customFormat="false" ht="15" hidden="false" customHeight="false" outlineLevel="0" collapsed="false">
      <c r="A36" s="2" t="s">
        <v>118</v>
      </c>
      <c r="B36" s="3" t="n">
        <v>2</v>
      </c>
      <c r="C36" s="4" t="n">
        <v>209950</v>
      </c>
      <c r="D36" s="3" t="s">
        <v>9</v>
      </c>
      <c r="E36" s="3" t="s">
        <v>119</v>
      </c>
      <c r="F36" s="2" t="s">
        <v>120</v>
      </c>
      <c r="G36" s="3" t="s">
        <v>21</v>
      </c>
      <c r="H36" s="5" t="s">
        <v>121</v>
      </c>
    </row>
    <row r="37" customFormat="false" ht="15" hidden="false" customHeight="false" outlineLevel="0" collapsed="false">
      <c r="A37" s="2" t="s">
        <v>122</v>
      </c>
      <c r="B37" s="3" t="n">
        <v>2</v>
      </c>
      <c r="C37" s="4" t="n">
        <v>210000</v>
      </c>
      <c r="D37" s="3" t="s">
        <v>9</v>
      </c>
      <c r="E37" s="3" t="s">
        <v>123</v>
      </c>
      <c r="F37" s="2" t="s">
        <v>92</v>
      </c>
      <c r="G37" s="3" t="s">
        <v>17</v>
      </c>
      <c r="H37" s="5" t="s">
        <v>124</v>
      </c>
    </row>
    <row r="38" customFormat="false" ht="15" hidden="false" customHeight="false" outlineLevel="0" collapsed="false">
      <c r="A38" s="2" t="s">
        <v>125</v>
      </c>
      <c r="B38" s="3" t="n">
        <v>2</v>
      </c>
      <c r="C38" s="4" t="n">
        <v>210000</v>
      </c>
      <c r="D38" s="3" t="s">
        <v>9</v>
      </c>
      <c r="E38" s="3" t="s">
        <v>126</v>
      </c>
      <c r="F38" s="2" t="s">
        <v>92</v>
      </c>
      <c r="G38" s="3" t="s">
        <v>25</v>
      </c>
      <c r="H38" s="5" t="s">
        <v>127</v>
      </c>
    </row>
    <row r="39" customFormat="false" ht="15" hidden="false" customHeight="false" outlineLevel="0" collapsed="false">
      <c r="A39" s="2" t="s">
        <v>128</v>
      </c>
      <c r="B39" s="3" t="n">
        <v>2</v>
      </c>
      <c r="C39" s="4" t="n">
        <v>214950</v>
      </c>
      <c r="D39" s="3" t="s">
        <v>9</v>
      </c>
      <c r="E39" s="3" t="s">
        <v>129</v>
      </c>
      <c r="F39" s="2" t="s">
        <v>120</v>
      </c>
      <c r="G39" s="3" t="s">
        <v>21</v>
      </c>
      <c r="H39" s="5" t="s">
        <v>130</v>
      </c>
    </row>
    <row r="40" customFormat="false" ht="15" hidden="false" customHeight="false" outlineLevel="0" collapsed="false">
      <c r="A40" s="2" t="s">
        <v>131</v>
      </c>
      <c r="B40" s="3" t="n">
        <v>2</v>
      </c>
      <c r="C40" s="4" t="n">
        <v>219950</v>
      </c>
      <c r="D40" s="3" t="s">
        <v>9</v>
      </c>
      <c r="E40" s="3" t="s">
        <v>132</v>
      </c>
      <c r="F40" s="2" t="s">
        <v>11</v>
      </c>
      <c r="G40" s="3" t="s">
        <v>12</v>
      </c>
      <c r="H40" s="5" t="s">
        <v>133</v>
      </c>
    </row>
    <row r="41" customFormat="false" ht="15" hidden="false" customHeight="false" outlineLevel="0" collapsed="false">
      <c r="A41" s="2" t="s">
        <v>134</v>
      </c>
      <c r="B41" s="3" t="n">
        <v>2</v>
      </c>
      <c r="C41" s="4" t="n">
        <v>219950</v>
      </c>
      <c r="D41" s="3" t="s">
        <v>9</v>
      </c>
      <c r="E41" s="3" t="s">
        <v>135</v>
      </c>
      <c r="F41" s="2" t="s">
        <v>92</v>
      </c>
      <c r="G41" s="3" t="s">
        <v>25</v>
      </c>
      <c r="H41" s="5" t="s">
        <v>136</v>
      </c>
    </row>
    <row r="42" customFormat="false" ht="15" hidden="false" customHeight="false" outlineLevel="0" collapsed="false">
      <c r="A42" s="2" t="s">
        <v>137</v>
      </c>
      <c r="B42" s="3" t="n">
        <v>2</v>
      </c>
      <c r="C42" s="4" t="n">
        <v>220000</v>
      </c>
      <c r="D42" s="3" t="s">
        <v>9</v>
      </c>
      <c r="E42" s="3" t="s">
        <v>138</v>
      </c>
      <c r="F42" s="2" t="s">
        <v>16</v>
      </c>
      <c r="G42" s="3" t="s">
        <v>17</v>
      </c>
      <c r="H42" s="5" t="s">
        <v>139</v>
      </c>
    </row>
    <row r="43" customFormat="false" ht="15" hidden="false" customHeight="false" outlineLevel="0" collapsed="false">
      <c r="A43" s="2" t="s">
        <v>140</v>
      </c>
      <c r="B43" s="3" t="n">
        <v>2</v>
      </c>
      <c r="C43" s="4" t="n">
        <v>225000</v>
      </c>
      <c r="D43" s="3" t="s">
        <v>9</v>
      </c>
      <c r="E43" s="3" t="s">
        <v>141</v>
      </c>
      <c r="F43" s="2" t="s">
        <v>59</v>
      </c>
      <c r="G43" s="3" t="s">
        <v>25</v>
      </c>
      <c r="H43" s="5" t="s">
        <v>142</v>
      </c>
    </row>
    <row r="44" customFormat="false" ht="15" hidden="false" customHeight="false" outlineLevel="0" collapsed="false">
      <c r="A44" s="2" t="s">
        <v>143</v>
      </c>
      <c r="B44" s="3" t="n">
        <v>2</v>
      </c>
      <c r="C44" s="4" t="n">
        <v>230000</v>
      </c>
      <c r="D44" s="3" t="s">
        <v>9</v>
      </c>
      <c r="E44" s="3" t="s">
        <v>98</v>
      </c>
      <c r="F44" s="2" t="s">
        <v>16</v>
      </c>
      <c r="G44" s="3" t="s">
        <v>12</v>
      </c>
      <c r="H44" s="5" t="s">
        <v>144</v>
      </c>
    </row>
    <row r="45" customFormat="false" ht="15" hidden="false" customHeight="false" outlineLevel="0" collapsed="false">
      <c r="A45" s="2" t="s">
        <v>145</v>
      </c>
      <c r="B45" s="3" t="n">
        <v>2</v>
      </c>
      <c r="C45" s="4" t="n">
        <v>230000</v>
      </c>
      <c r="D45" s="3" t="s">
        <v>9</v>
      </c>
      <c r="E45" s="3" t="s">
        <v>146</v>
      </c>
      <c r="F45" s="2" t="s">
        <v>16</v>
      </c>
      <c r="G45" s="3" t="s">
        <v>12</v>
      </c>
      <c r="H45" s="5" t="s">
        <v>147</v>
      </c>
    </row>
    <row r="46" customFormat="false" ht="15" hidden="false" customHeight="false" outlineLevel="0" collapsed="false">
      <c r="A46" s="2" t="s">
        <v>148</v>
      </c>
      <c r="B46" s="3" t="n">
        <v>2</v>
      </c>
      <c r="C46" s="4" t="n">
        <v>235000</v>
      </c>
      <c r="D46" s="3" t="s">
        <v>9</v>
      </c>
      <c r="E46" s="3" t="s">
        <v>149</v>
      </c>
      <c r="F46" s="2" t="s">
        <v>16</v>
      </c>
      <c r="G46" s="3" t="s">
        <v>17</v>
      </c>
      <c r="H46" s="5" t="s">
        <v>150</v>
      </c>
    </row>
    <row r="47" customFormat="false" ht="15" hidden="false" customHeight="false" outlineLevel="0" collapsed="false">
      <c r="A47" s="2" t="s">
        <v>151</v>
      </c>
      <c r="B47" s="3" t="n">
        <v>2</v>
      </c>
      <c r="C47" s="4" t="n">
        <v>235000</v>
      </c>
      <c r="D47" s="3" t="s">
        <v>9</v>
      </c>
      <c r="E47" s="3" t="s">
        <v>10</v>
      </c>
      <c r="F47" s="2" t="s">
        <v>16</v>
      </c>
      <c r="G47" s="3" t="s">
        <v>17</v>
      </c>
      <c r="H47" s="5" t="s">
        <v>152</v>
      </c>
    </row>
    <row r="48" customFormat="false" ht="15" hidden="false" customHeight="false" outlineLevel="0" collapsed="false">
      <c r="A48" s="2" t="s">
        <v>153</v>
      </c>
      <c r="B48" s="3" t="n">
        <v>2</v>
      </c>
      <c r="C48" s="4" t="n">
        <v>239950</v>
      </c>
      <c r="D48" s="3" t="s">
        <v>9</v>
      </c>
      <c r="E48" s="3" t="s">
        <v>126</v>
      </c>
      <c r="F48" s="2" t="s">
        <v>11</v>
      </c>
      <c r="G48" s="3" t="s">
        <v>25</v>
      </c>
      <c r="H48" s="5" t="s">
        <v>154</v>
      </c>
    </row>
    <row r="49" customFormat="false" ht="15" hidden="false" customHeight="false" outlineLevel="0" collapsed="false">
      <c r="A49" s="2" t="s">
        <v>155</v>
      </c>
      <c r="B49" s="3" t="n">
        <v>2</v>
      </c>
      <c r="C49" s="4" t="n">
        <v>240000</v>
      </c>
      <c r="D49" s="3" t="s">
        <v>9</v>
      </c>
      <c r="E49" s="3" t="s">
        <v>156</v>
      </c>
      <c r="F49" s="2" t="s">
        <v>92</v>
      </c>
      <c r="G49" s="3" t="s">
        <v>17</v>
      </c>
      <c r="H49" s="5" t="s">
        <v>157</v>
      </c>
    </row>
    <row r="50" customFormat="false" ht="15" hidden="false" customHeight="false" outlineLevel="0" collapsed="false">
      <c r="A50" s="2" t="s">
        <v>158</v>
      </c>
      <c r="B50" s="3" t="n">
        <v>2</v>
      </c>
      <c r="C50" s="4" t="n">
        <v>260000</v>
      </c>
      <c r="D50" s="3" t="s">
        <v>9</v>
      </c>
      <c r="E50" s="3" t="s">
        <v>159</v>
      </c>
      <c r="F50" s="2" t="s">
        <v>16</v>
      </c>
      <c r="G50" s="3" t="s">
        <v>160</v>
      </c>
      <c r="H50" s="5" t="s">
        <v>161</v>
      </c>
    </row>
    <row r="51" customFormat="false" ht="15" hidden="false" customHeight="false" outlineLevel="0" collapsed="false">
      <c r="A51" s="2" t="s">
        <v>162</v>
      </c>
      <c r="B51" s="3" t="n">
        <v>2</v>
      </c>
      <c r="C51" s="4" t="n">
        <v>275000</v>
      </c>
      <c r="D51" s="3" t="s">
        <v>9</v>
      </c>
      <c r="E51" s="3" t="s">
        <v>163</v>
      </c>
      <c r="F51" s="2" t="s">
        <v>16</v>
      </c>
      <c r="G51" s="3" t="s">
        <v>160</v>
      </c>
      <c r="H51" s="5" t="s">
        <v>164</v>
      </c>
    </row>
    <row r="52" customFormat="false" ht="15" hidden="false" customHeight="false" outlineLevel="0" collapsed="false">
      <c r="A52" s="2" t="s">
        <v>165</v>
      </c>
      <c r="B52" s="3" t="n">
        <v>2</v>
      </c>
      <c r="C52" s="4" t="n">
        <v>275000</v>
      </c>
      <c r="D52" s="3" t="s">
        <v>9</v>
      </c>
      <c r="E52" s="3" t="s">
        <v>166</v>
      </c>
      <c r="F52" s="2" t="s">
        <v>16</v>
      </c>
      <c r="G52" s="3" t="s">
        <v>25</v>
      </c>
      <c r="H52" s="5" t="s">
        <v>167</v>
      </c>
    </row>
    <row r="53" customFormat="false" ht="15" hidden="false" customHeight="false" outlineLevel="0" collapsed="false">
      <c r="A53" s="2" t="s">
        <v>168</v>
      </c>
      <c r="B53" s="3" t="n">
        <v>2</v>
      </c>
      <c r="C53" s="4" t="n">
        <v>335000</v>
      </c>
      <c r="D53" s="3" t="s">
        <v>9</v>
      </c>
      <c r="E53" s="3" t="s">
        <v>169</v>
      </c>
      <c r="F53" s="2" t="s">
        <v>120</v>
      </c>
      <c r="G53" s="3" t="s">
        <v>25</v>
      </c>
      <c r="H53" s="5" t="s">
        <v>170</v>
      </c>
    </row>
    <row r="54" customFormat="false" ht="15" hidden="false" customHeight="false" outlineLevel="0" collapsed="false">
      <c r="A54" s="2" t="s">
        <v>171</v>
      </c>
      <c r="B54" s="3" t="n">
        <v>3</v>
      </c>
      <c r="C54" s="4" t="n">
        <v>129950</v>
      </c>
      <c r="D54" s="3" t="s">
        <v>9</v>
      </c>
      <c r="E54" s="3" t="s">
        <v>172</v>
      </c>
      <c r="F54" s="2" t="s">
        <v>11</v>
      </c>
      <c r="G54" s="3" t="s">
        <v>17</v>
      </c>
      <c r="H54" s="5" t="s">
        <v>173</v>
      </c>
    </row>
    <row r="55" customFormat="false" ht="15" hidden="false" customHeight="false" outlineLevel="0" collapsed="false">
      <c r="A55" s="2" t="s">
        <v>174</v>
      </c>
      <c r="B55" s="3" t="n">
        <v>3</v>
      </c>
      <c r="C55" s="4" t="n">
        <v>130000</v>
      </c>
      <c r="D55" s="3" t="s">
        <v>9</v>
      </c>
      <c r="E55" s="3" t="s">
        <v>126</v>
      </c>
      <c r="F55" s="2" t="s">
        <v>11</v>
      </c>
      <c r="G55" s="3" t="s">
        <v>12</v>
      </c>
      <c r="H55" s="5" t="s">
        <v>175</v>
      </c>
    </row>
    <row r="56" customFormat="false" ht="15" hidden="false" customHeight="false" outlineLevel="0" collapsed="false">
      <c r="A56" s="2" t="s">
        <v>176</v>
      </c>
      <c r="B56" s="3" t="n">
        <v>3</v>
      </c>
      <c r="C56" s="4" t="n">
        <v>144950</v>
      </c>
      <c r="D56" s="3" t="s">
        <v>9</v>
      </c>
      <c r="E56" s="3" t="s">
        <v>141</v>
      </c>
      <c r="F56" s="2" t="s">
        <v>16</v>
      </c>
      <c r="G56" s="3" t="s">
        <v>21</v>
      </c>
      <c r="H56" s="5" t="s">
        <v>177</v>
      </c>
    </row>
    <row r="57" customFormat="false" ht="15" hidden="false" customHeight="false" outlineLevel="0" collapsed="false">
      <c r="A57" s="2" t="s">
        <v>178</v>
      </c>
      <c r="B57" s="3" t="n">
        <v>3</v>
      </c>
      <c r="C57" s="4" t="n">
        <v>149950</v>
      </c>
      <c r="D57" s="3" t="s">
        <v>9</v>
      </c>
      <c r="E57" s="3" t="s">
        <v>179</v>
      </c>
      <c r="F57" s="2" t="s">
        <v>11</v>
      </c>
      <c r="G57" s="3" t="s">
        <v>17</v>
      </c>
      <c r="H57" s="5" t="s">
        <v>180</v>
      </c>
    </row>
    <row r="58" customFormat="false" ht="15" hidden="false" customHeight="false" outlineLevel="0" collapsed="false">
      <c r="A58" s="2" t="s">
        <v>181</v>
      </c>
      <c r="B58" s="3" t="n">
        <v>3</v>
      </c>
      <c r="C58" s="4" t="n">
        <v>152500</v>
      </c>
      <c r="D58" s="3" t="s">
        <v>9</v>
      </c>
      <c r="E58" s="3" t="s">
        <v>123</v>
      </c>
      <c r="F58" s="2" t="s">
        <v>11</v>
      </c>
      <c r="G58" s="3" t="s">
        <v>12</v>
      </c>
      <c r="H58" s="5" t="s">
        <v>182</v>
      </c>
    </row>
    <row r="59" customFormat="false" ht="15" hidden="false" customHeight="false" outlineLevel="0" collapsed="false">
      <c r="A59" s="2" t="s">
        <v>183</v>
      </c>
      <c r="B59" s="3" t="n">
        <v>3</v>
      </c>
      <c r="C59" s="4" t="n">
        <v>170000</v>
      </c>
      <c r="D59" s="3" t="s">
        <v>9</v>
      </c>
      <c r="E59" s="3" t="s">
        <v>184</v>
      </c>
      <c r="F59" s="2" t="s">
        <v>92</v>
      </c>
      <c r="G59" s="3" t="s">
        <v>25</v>
      </c>
      <c r="H59" s="5" t="s">
        <v>185</v>
      </c>
    </row>
    <row r="60" customFormat="false" ht="15" hidden="false" customHeight="false" outlineLevel="0" collapsed="false">
      <c r="A60" s="2" t="s">
        <v>186</v>
      </c>
      <c r="B60" s="3" t="n">
        <v>3</v>
      </c>
      <c r="C60" s="4" t="n">
        <v>180000</v>
      </c>
      <c r="D60" s="3" t="s">
        <v>9</v>
      </c>
      <c r="E60" s="3" t="s">
        <v>24</v>
      </c>
      <c r="F60" s="2" t="s">
        <v>59</v>
      </c>
      <c r="G60" s="3" t="s">
        <v>25</v>
      </c>
      <c r="H60" s="5" t="s">
        <v>187</v>
      </c>
    </row>
    <row r="61" customFormat="false" ht="15" hidden="false" customHeight="false" outlineLevel="0" collapsed="false">
      <c r="A61" s="2" t="s">
        <v>188</v>
      </c>
      <c r="B61" s="3" t="n">
        <v>3</v>
      </c>
      <c r="C61" s="4" t="n">
        <v>185000</v>
      </c>
      <c r="D61" s="3" t="s">
        <v>9</v>
      </c>
      <c r="E61" s="3" t="s">
        <v>189</v>
      </c>
      <c r="F61" s="2" t="s">
        <v>11</v>
      </c>
      <c r="G61" s="3" t="s">
        <v>17</v>
      </c>
      <c r="H61" s="5" t="s">
        <v>190</v>
      </c>
    </row>
    <row r="62" customFormat="false" ht="15" hidden="false" customHeight="false" outlineLevel="0" collapsed="false">
      <c r="A62" s="2" t="s">
        <v>191</v>
      </c>
      <c r="B62" s="3" t="n">
        <v>3</v>
      </c>
      <c r="C62" s="4" t="n">
        <v>185000</v>
      </c>
      <c r="D62" s="3" t="s">
        <v>9</v>
      </c>
      <c r="E62" s="3" t="s">
        <v>141</v>
      </c>
      <c r="F62" s="2" t="s">
        <v>59</v>
      </c>
      <c r="G62" s="3" t="s">
        <v>25</v>
      </c>
      <c r="H62" s="5" t="s">
        <v>192</v>
      </c>
    </row>
    <row r="63" customFormat="false" ht="15" hidden="false" customHeight="false" outlineLevel="0" collapsed="false">
      <c r="A63" s="2" t="s">
        <v>193</v>
      </c>
      <c r="B63" s="3" t="n">
        <v>3</v>
      </c>
      <c r="C63" s="4" t="n">
        <v>185000</v>
      </c>
      <c r="D63" s="3" t="s">
        <v>9</v>
      </c>
      <c r="E63" s="3" t="s">
        <v>194</v>
      </c>
      <c r="F63" s="2" t="s">
        <v>59</v>
      </c>
      <c r="G63" s="3" t="s">
        <v>25</v>
      </c>
      <c r="H63" s="5" t="s">
        <v>195</v>
      </c>
    </row>
    <row r="64" customFormat="false" ht="15" hidden="false" customHeight="false" outlineLevel="0" collapsed="false">
      <c r="A64" s="2" t="s">
        <v>196</v>
      </c>
      <c r="B64" s="3" t="n">
        <v>3</v>
      </c>
      <c r="C64" s="4" t="n">
        <v>185000</v>
      </c>
      <c r="D64" s="3" t="s">
        <v>9</v>
      </c>
      <c r="E64" s="3" t="s">
        <v>197</v>
      </c>
      <c r="F64" s="2" t="s">
        <v>59</v>
      </c>
      <c r="G64" s="3" t="s">
        <v>25</v>
      </c>
      <c r="H64" s="5" t="s">
        <v>198</v>
      </c>
    </row>
    <row r="65" customFormat="false" ht="15" hidden="false" customHeight="false" outlineLevel="0" collapsed="false">
      <c r="A65" s="2" t="s">
        <v>199</v>
      </c>
      <c r="B65" s="3" t="n">
        <v>3</v>
      </c>
      <c r="C65" s="4" t="n">
        <v>185000</v>
      </c>
      <c r="D65" s="3" t="s">
        <v>9</v>
      </c>
      <c r="E65" s="3" t="s">
        <v>200</v>
      </c>
      <c r="F65" s="2" t="s">
        <v>92</v>
      </c>
      <c r="G65" s="3" t="s">
        <v>25</v>
      </c>
      <c r="H65" s="5" t="s">
        <v>201</v>
      </c>
    </row>
    <row r="66" customFormat="false" ht="15" hidden="false" customHeight="false" outlineLevel="0" collapsed="false">
      <c r="A66" s="2" t="s">
        <v>202</v>
      </c>
      <c r="B66" s="3" t="n">
        <v>3</v>
      </c>
      <c r="C66" s="4" t="n">
        <v>195950</v>
      </c>
      <c r="D66" s="3" t="s">
        <v>9</v>
      </c>
      <c r="E66" s="3" t="s">
        <v>203</v>
      </c>
      <c r="F66" s="2" t="s">
        <v>101</v>
      </c>
      <c r="G66" s="3" t="s">
        <v>17</v>
      </c>
      <c r="H66" s="5" t="s">
        <v>204</v>
      </c>
    </row>
    <row r="67" customFormat="false" ht="15" hidden="false" customHeight="false" outlineLevel="0" collapsed="false">
      <c r="A67" s="2" t="s">
        <v>205</v>
      </c>
      <c r="B67" s="3" t="n">
        <v>3</v>
      </c>
      <c r="C67" s="4" t="n">
        <v>199950</v>
      </c>
      <c r="D67" s="3" t="s">
        <v>9</v>
      </c>
      <c r="E67" s="3" t="s">
        <v>206</v>
      </c>
      <c r="F67" s="2" t="s">
        <v>11</v>
      </c>
      <c r="G67" s="3" t="s">
        <v>25</v>
      </c>
      <c r="H67" s="5" t="s">
        <v>207</v>
      </c>
    </row>
    <row r="68" customFormat="false" ht="15" hidden="false" customHeight="false" outlineLevel="0" collapsed="false">
      <c r="A68" s="2" t="s">
        <v>208</v>
      </c>
      <c r="B68" s="3" t="n">
        <v>3</v>
      </c>
      <c r="C68" s="4" t="n">
        <v>199950</v>
      </c>
      <c r="D68" s="3" t="s">
        <v>9</v>
      </c>
      <c r="E68" s="3" t="s">
        <v>197</v>
      </c>
      <c r="F68" s="2" t="s">
        <v>81</v>
      </c>
      <c r="G68" s="3" t="s">
        <v>17</v>
      </c>
      <c r="H68" s="5" t="s">
        <v>209</v>
      </c>
    </row>
    <row r="69" customFormat="false" ht="15" hidden="false" customHeight="false" outlineLevel="0" collapsed="false">
      <c r="A69" s="2" t="s">
        <v>210</v>
      </c>
      <c r="B69" s="3" t="n">
        <v>3</v>
      </c>
      <c r="C69" s="4" t="n">
        <v>199950</v>
      </c>
      <c r="D69" s="3" t="s">
        <v>9</v>
      </c>
      <c r="E69" s="3" t="s">
        <v>98</v>
      </c>
      <c r="F69" s="2" t="s">
        <v>81</v>
      </c>
      <c r="G69" s="3" t="s">
        <v>21</v>
      </c>
      <c r="H69" s="5" t="s">
        <v>211</v>
      </c>
    </row>
    <row r="70" customFormat="false" ht="15" hidden="false" customHeight="false" outlineLevel="0" collapsed="false">
      <c r="A70" s="2" t="s">
        <v>212</v>
      </c>
      <c r="B70" s="3" t="n">
        <v>3</v>
      </c>
      <c r="C70" s="4" t="n">
        <v>209950</v>
      </c>
      <c r="D70" s="3" t="s">
        <v>9</v>
      </c>
      <c r="E70" s="3" t="s">
        <v>40</v>
      </c>
      <c r="F70" s="2" t="s">
        <v>59</v>
      </c>
      <c r="G70" s="3" t="s">
        <v>17</v>
      </c>
      <c r="H70" s="5" t="s">
        <v>213</v>
      </c>
    </row>
    <row r="71" customFormat="false" ht="15" hidden="false" customHeight="false" outlineLevel="0" collapsed="false">
      <c r="A71" s="2" t="s">
        <v>214</v>
      </c>
      <c r="B71" s="3" t="n">
        <v>3</v>
      </c>
      <c r="C71" s="4" t="n">
        <v>214950</v>
      </c>
      <c r="D71" s="3" t="s">
        <v>9</v>
      </c>
      <c r="E71" s="3" t="s">
        <v>215</v>
      </c>
      <c r="F71" s="2" t="s">
        <v>120</v>
      </c>
      <c r="G71" s="3" t="s">
        <v>25</v>
      </c>
      <c r="H71" s="5" t="s">
        <v>216</v>
      </c>
    </row>
    <row r="72" customFormat="false" ht="15" hidden="false" customHeight="false" outlineLevel="0" collapsed="false">
      <c r="A72" s="2" t="s">
        <v>217</v>
      </c>
      <c r="B72" s="3" t="n">
        <v>3</v>
      </c>
      <c r="C72" s="4" t="n">
        <v>215000</v>
      </c>
      <c r="D72" s="3" t="s">
        <v>9</v>
      </c>
      <c r="E72" s="3" t="s">
        <v>218</v>
      </c>
      <c r="F72" s="2" t="s">
        <v>11</v>
      </c>
      <c r="G72" s="3" t="s">
        <v>17</v>
      </c>
      <c r="H72" s="5" t="s">
        <v>219</v>
      </c>
    </row>
    <row r="73" customFormat="false" ht="15" hidden="false" customHeight="false" outlineLevel="0" collapsed="false">
      <c r="A73" s="2" t="s">
        <v>220</v>
      </c>
      <c r="B73" s="3" t="n">
        <v>3</v>
      </c>
      <c r="C73" s="4" t="n">
        <v>219950</v>
      </c>
      <c r="D73" s="3" t="s">
        <v>9</v>
      </c>
      <c r="E73" s="3" t="s">
        <v>10</v>
      </c>
      <c r="F73" s="2" t="s">
        <v>120</v>
      </c>
      <c r="G73" s="3" t="s">
        <v>12</v>
      </c>
      <c r="H73" s="5" t="s">
        <v>221</v>
      </c>
    </row>
    <row r="74" customFormat="false" ht="15" hidden="false" customHeight="false" outlineLevel="0" collapsed="false">
      <c r="A74" s="2" t="s">
        <v>222</v>
      </c>
      <c r="B74" s="3" t="n">
        <v>3</v>
      </c>
      <c r="C74" s="4" t="n">
        <v>220000</v>
      </c>
      <c r="D74" s="3" t="s">
        <v>9</v>
      </c>
      <c r="E74" s="3" t="s">
        <v>223</v>
      </c>
      <c r="F74" s="2" t="s">
        <v>59</v>
      </c>
      <c r="G74" s="3" t="s">
        <v>25</v>
      </c>
      <c r="H74" s="5" t="s">
        <v>224</v>
      </c>
    </row>
    <row r="75" customFormat="false" ht="15" hidden="false" customHeight="false" outlineLevel="0" collapsed="false">
      <c r="A75" s="2" t="s">
        <v>225</v>
      </c>
      <c r="B75" s="3" t="n">
        <v>3</v>
      </c>
      <c r="C75" s="4" t="n">
        <v>224950</v>
      </c>
      <c r="D75" s="3" t="s">
        <v>9</v>
      </c>
      <c r="E75" s="3" t="s">
        <v>203</v>
      </c>
      <c r="F75" s="2" t="s">
        <v>59</v>
      </c>
      <c r="G75" s="3" t="s">
        <v>21</v>
      </c>
      <c r="H75" s="5" t="s">
        <v>226</v>
      </c>
    </row>
    <row r="76" customFormat="false" ht="15" hidden="false" customHeight="false" outlineLevel="0" collapsed="false">
      <c r="A76" s="2" t="s">
        <v>227</v>
      </c>
      <c r="B76" s="3" t="n">
        <v>3</v>
      </c>
      <c r="C76" s="4" t="n">
        <v>225000</v>
      </c>
      <c r="D76" s="3" t="s">
        <v>9</v>
      </c>
      <c r="E76" s="3" t="s">
        <v>228</v>
      </c>
      <c r="F76" s="2" t="s">
        <v>11</v>
      </c>
      <c r="G76" s="3" t="s">
        <v>25</v>
      </c>
      <c r="H76" s="5" t="s">
        <v>229</v>
      </c>
    </row>
    <row r="77" customFormat="false" ht="15" hidden="false" customHeight="false" outlineLevel="0" collapsed="false">
      <c r="A77" s="2" t="s">
        <v>230</v>
      </c>
      <c r="B77" s="3" t="n">
        <v>3</v>
      </c>
      <c r="C77" s="4" t="n">
        <v>239950</v>
      </c>
      <c r="D77" s="3" t="s">
        <v>9</v>
      </c>
      <c r="E77" s="3" t="s">
        <v>231</v>
      </c>
      <c r="F77" s="2" t="s">
        <v>16</v>
      </c>
      <c r="G77" s="3" t="s">
        <v>17</v>
      </c>
      <c r="H77" s="5" t="s">
        <v>232</v>
      </c>
    </row>
    <row r="78" customFormat="false" ht="15" hidden="false" customHeight="false" outlineLevel="0" collapsed="false">
      <c r="A78" s="2" t="s">
        <v>233</v>
      </c>
      <c r="B78" s="3" t="n">
        <v>3</v>
      </c>
      <c r="C78" s="4" t="n">
        <v>245000</v>
      </c>
      <c r="D78" s="3" t="s">
        <v>9</v>
      </c>
      <c r="E78" s="3" t="s">
        <v>234</v>
      </c>
      <c r="F78" s="2" t="s">
        <v>120</v>
      </c>
      <c r="G78" s="3" t="s">
        <v>12</v>
      </c>
      <c r="H78" s="5" t="s">
        <v>235</v>
      </c>
    </row>
    <row r="79" customFormat="false" ht="15" hidden="false" customHeight="false" outlineLevel="0" collapsed="false">
      <c r="A79" s="2" t="s">
        <v>236</v>
      </c>
      <c r="B79" s="3" t="n">
        <v>3</v>
      </c>
      <c r="C79" s="4" t="n">
        <v>249950</v>
      </c>
      <c r="D79" s="3" t="s">
        <v>9</v>
      </c>
      <c r="E79" s="3" t="s">
        <v>237</v>
      </c>
      <c r="F79" s="2" t="s">
        <v>120</v>
      </c>
      <c r="G79" s="3" t="s">
        <v>25</v>
      </c>
      <c r="H79" s="5" t="s">
        <v>238</v>
      </c>
    </row>
    <row r="80" customFormat="false" ht="15" hidden="false" customHeight="false" outlineLevel="0" collapsed="false">
      <c r="A80" s="2" t="s">
        <v>239</v>
      </c>
      <c r="B80" s="3" t="n">
        <v>3</v>
      </c>
      <c r="C80" s="4" t="n">
        <v>275000</v>
      </c>
      <c r="D80" s="3" t="s">
        <v>9</v>
      </c>
      <c r="E80" s="3" t="s">
        <v>237</v>
      </c>
      <c r="F80" s="2" t="s">
        <v>120</v>
      </c>
      <c r="G80" s="3" t="s">
        <v>25</v>
      </c>
      <c r="H80" s="5" t="s">
        <v>240</v>
      </c>
    </row>
    <row r="81" customFormat="false" ht="15" hidden="false" customHeight="false" outlineLevel="0" collapsed="false">
      <c r="A81" s="2" t="s">
        <v>241</v>
      </c>
      <c r="B81" s="3" t="n">
        <v>3</v>
      </c>
      <c r="C81" s="4" t="n">
        <v>289950</v>
      </c>
      <c r="D81" s="3" t="s">
        <v>9</v>
      </c>
      <c r="E81" s="3" t="s">
        <v>242</v>
      </c>
      <c r="F81" s="2" t="s">
        <v>85</v>
      </c>
      <c r="G81" s="3" t="s">
        <v>17</v>
      </c>
      <c r="H81" s="5" t="s">
        <v>243</v>
      </c>
    </row>
    <row r="82" customFormat="false" ht="15" hidden="false" customHeight="false" outlineLevel="0" collapsed="false">
      <c r="A82" s="2" t="s">
        <v>244</v>
      </c>
      <c r="B82" s="3" t="n">
        <v>3</v>
      </c>
      <c r="C82" s="4" t="n">
        <v>295000</v>
      </c>
      <c r="D82" s="3" t="s">
        <v>9</v>
      </c>
      <c r="E82" s="3" t="s">
        <v>245</v>
      </c>
      <c r="F82" s="2" t="s">
        <v>246</v>
      </c>
      <c r="G82" s="3" t="s">
        <v>25</v>
      </c>
      <c r="H82" s="5" t="s">
        <v>247</v>
      </c>
    </row>
    <row r="83" customFormat="false" ht="15" hidden="false" customHeight="false" outlineLevel="0" collapsed="false">
      <c r="A83" s="2" t="s">
        <v>248</v>
      </c>
      <c r="B83" s="3" t="n">
        <v>3</v>
      </c>
      <c r="C83" s="4" t="n">
        <v>305000</v>
      </c>
      <c r="D83" s="3" t="s">
        <v>9</v>
      </c>
      <c r="E83" s="3" t="s">
        <v>249</v>
      </c>
      <c r="F83" s="2" t="s">
        <v>85</v>
      </c>
      <c r="G83" s="3" t="s">
        <v>25</v>
      </c>
      <c r="H83" s="5" t="s">
        <v>250</v>
      </c>
    </row>
    <row r="84" customFormat="false" ht="15" hidden="false" customHeight="false" outlineLevel="0" collapsed="false">
      <c r="A84" s="2" t="s">
        <v>251</v>
      </c>
      <c r="B84" s="3" t="n">
        <v>3</v>
      </c>
      <c r="C84" s="4" t="n">
        <v>335000</v>
      </c>
      <c r="D84" s="3" t="s">
        <v>9</v>
      </c>
      <c r="E84" s="3" t="s">
        <v>252</v>
      </c>
      <c r="F84" s="2" t="s">
        <v>120</v>
      </c>
      <c r="G84" s="3" t="s">
        <v>17</v>
      </c>
      <c r="H84" s="5" t="s">
        <v>253</v>
      </c>
    </row>
    <row r="85" customFormat="false" ht="15" hidden="false" customHeight="false" outlineLevel="0" collapsed="false">
      <c r="A85" s="2" t="s">
        <v>254</v>
      </c>
      <c r="B85" s="3" t="n">
        <v>3</v>
      </c>
      <c r="C85" s="4" t="n">
        <v>339950</v>
      </c>
      <c r="D85" s="3" t="s">
        <v>9</v>
      </c>
      <c r="E85" s="3" t="s">
        <v>255</v>
      </c>
      <c r="F85" s="2" t="s">
        <v>81</v>
      </c>
      <c r="G85" s="3" t="s">
        <v>25</v>
      </c>
      <c r="H85" s="5" t="s">
        <v>256</v>
      </c>
    </row>
    <row r="86" customFormat="false" ht="15" hidden="false" customHeight="false" outlineLevel="0" collapsed="false">
      <c r="A86" s="2" t="s">
        <v>257</v>
      </c>
      <c r="B86" s="3" t="n">
        <v>3</v>
      </c>
      <c r="C86" s="4" t="n">
        <v>375000</v>
      </c>
      <c r="D86" s="3" t="s">
        <v>9</v>
      </c>
      <c r="E86" s="3" t="s">
        <v>52</v>
      </c>
      <c r="F86" s="2" t="s">
        <v>120</v>
      </c>
      <c r="G86" s="3" t="s">
        <v>17</v>
      </c>
      <c r="H86" s="5" t="s">
        <v>258</v>
      </c>
    </row>
    <row r="87" customFormat="false" ht="15" hidden="false" customHeight="false" outlineLevel="0" collapsed="false">
      <c r="A87" s="2" t="s">
        <v>259</v>
      </c>
      <c r="B87" s="3" t="n">
        <v>3</v>
      </c>
      <c r="C87" s="4" t="n">
        <v>399950</v>
      </c>
      <c r="D87" s="3" t="s">
        <v>9</v>
      </c>
      <c r="E87" s="3" t="s">
        <v>62</v>
      </c>
      <c r="F87" s="2" t="s">
        <v>85</v>
      </c>
      <c r="G87" s="3" t="s">
        <v>25</v>
      </c>
      <c r="H87" s="5" t="s">
        <v>260</v>
      </c>
    </row>
    <row r="88" customFormat="false" ht="15" hidden="false" customHeight="false" outlineLevel="0" collapsed="false">
      <c r="A88" s="2" t="s">
        <v>261</v>
      </c>
      <c r="B88" s="3" t="n">
        <v>4</v>
      </c>
      <c r="C88" s="4" t="n">
        <v>170000</v>
      </c>
      <c r="D88" s="3" t="s">
        <v>9</v>
      </c>
      <c r="E88" s="3" t="s">
        <v>197</v>
      </c>
      <c r="F88" s="2" t="s">
        <v>59</v>
      </c>
      <c r="G88" s="3" t="s">
        <v>25</v>
      </c>
      <c r="H88" s="5" t="s">
        <v>262</v>
      </c>
    </row>
    <row r="89" customFormat="false" ht="15" hidden="false" customHeight="false" outlineLevel="0" collapsed="false">
      <c r="A89" s="2" t="s">
        <v>263</v>
      </c>
      <c r="B89" s="3" t="n">
        <v>4</v>
      </c>
      <c r="C89" s="4" t="n">
        <v>179950</v>
      </c>
      <c r="D89" s="3" t="s">
        <v>9</v>
      </c>
      <c r="E89" s="3" t="s">
        <v>264</v>
      </c>
      <c r="F89" s="2" t="s">
        <v>81</v>
      </c>
      <c r="G89" s="3" t="s">
        <v>21</v>
      </c>
      <c r="H89" s="5" t="s">
        <v>265</v>
      </c>
    </row>
    <row r="90" customFormat="false" ht="15" hidden="false" customHeight="false" outlineLevel="0" collapsed="false">
      <c r="A90" s="2" t="s">
        <v>266</v>
      </c>
      <c r="B90" s="3" t="n">
        <v>4</v>
      </c>
      <c r="C90" s="4" t="n">
        <v>184950</v>
      </c>
      <c r="D90" s="3" t="s">
        <v>9</v>
      </c>
      <c r="E90" s="3" t="s">
        <v>267</v>
      </c>
      <c r="F90" s="2" t="s">
        <v>81</v>
      </c>
      <c r="G90" s="3" t="s">
        <v>17</v>
      </c>
      <c r="H90" s="5" t="s">
        <v>268</v>
      </c>
    </row>
    <row r="91" customFormat="false" ht="15" hidden="false" customHeight="false" outlineLevel="0" collapsed="false">
      <c r="A91" s="2" t="s">
        <v>269</v>
      </c>
      <c r="B91" s="3" t="n">
        <v>4</v>
      </c>
      <c r="C91" s="4" t="n">
        <v>187500</v>
      </c>
      <c r="D91" s="3" t="s">
        <v>9</v>
      </c>
      <c r="E91" s="3" t="s">
        <v>126</v>
      </c>
      <c r="F91" s="2" t="s">
        <v>59</v>
      </c>
      <c r="G91" s="3" t="s">
        <v>21</v>
      </c>
      <c r="H91" s="5" t="s">
        <v>270</v>
      </c>
    </row>
    <row r="92" customFormat="false" ht="15" hidden="false" customHeight="false" outlineLevel="0" collapsed="false">
      <c r="A92" s="2" t="s">
        <v>271</v>
      </c>
      <c r="B92" s="3" t="n">
        <v>4</v>
      </c>
      <c r="C92" s="4" t="n">
        <v>189950</v>
      </c>
      <c r="D92" s="3" t="s">
        <v>9</v>
      </c>
      <c r="E92" s="3" t="s">
        <v>126</v>
      </c>
      <c r="F92" s="2" t="s">
        <v>59</v>
      </c>
      <c r="G92" s="3" t="s">
        <v>17</v>
      </c>
      <c r="H92" s="5" t="s">
        <v>272</v>
      </c>
    </row>
    <row r="93" customFormat="false" ht="15" hidden="false" customHeight="false" outlineLevel="0" collapsed="false">
      <c r="A93" s="2" t="s">
        <v>273</v>
      </c>
      <c r="B93" s="3" t="n">
        <v>4</v>
      </c>
      <c r="C93" s="4" t="n">
        <v>189950</v>
      </c>
      <c r="D93" s="3" t="s">
        <v>9</v>
      </c>
      <c r="E93" s="3" t="s">
        <v>215</v>
      </c>
      <c r="F93" s="2" t="s">
        <v>11</v>
      </c>
      <c r="G93" s="3" t="s">
        <v>17</v>
      </c>
      <c r="H93" s="5" t="s">
        <v>274</v>
      </c>
    </row>
    <row r="94" customFormat="false" ht="15" hidden="false" customHeight="false" outlineLevel="0" collapsed="false">
      <c r="A94" s="2" t="s">
        <v>275</v>
      </c>
      <c r="B94" s="3" t="n">
        <v>4</v>
      </c>
      <c r="C94" s="4" t="n">
        <v>199950</v>
      </c>
      <c r="D94" s="3" t="s">
        <v>9</v>
      </c>
      <c r="E94" s="3" t="s">
        <v>138</v>
      </c>
      <c r="F94" s="2" t="s">
        <v>11</v>
      </c>
      <c r="G94" s="3" t="s">
        <v>12</v>
      </c>
      <c r="H94" s="5" t="s">
        <v>276</v>
      </c>
    </row>
    <row r="95" customFormat="false" ht="15" hidden="false" customHeight="false" outlineLevel="0" collapsed="false">
      <c r="A95" s="2" t="s">
        <v>277</v>
      </c>
      <c r="B95" s="3" t="n">
        <v>4</v>
      </c>
      <c r="C95" s="4" t="n">
        <v>200000</v>
      </c>
      <c r="D95" s="3" t="s">
        <v>9</v>
      </c>
      <c r="E95" s="3" t="s">
        <v>264</v>
      </c>
      <c r="F95" s="2" t="s">
        <v>11</v>
      </c>
      <c r="G95" s="3" t="s">
        <v>12</v>
      </c>
      <c r="H95" s="5" t="s">
        <v>278</v>
      </c>
    </row>
    <row r="96" customFormat="false" ht="15" hidden="false" customHeight="false" outlineLevel="0" collapsed="false">
      <c r="A96" s="2" t="s">
        <v>279</v>
      </c>
      <c r="B96" s="3" t="n">
        <v>4</v>
      </c>
      <c r="C96" s="4" t="n">
        <v>235000</v>
      </c>
      <c r="D96" s="3" t="s">
        <v>9</v>
      </c>
      <c r="E96" s="3" t="s">
        <v>249</v>
      </c>
      <c r="F96" s="2" t="s">
        <v>11</v>
      </c>
      <c r="G96" s="3" t="s">
        <v>12</v>
      </c>
      <c r="H96" s="5" t="s">
        <v>280</v>
      </c>
    </row>
    <row r="97" customFormat="false" ht="15" hidden="false" customHeight="false" outlineLevel="0" collapsed="false">
      <c r="A97" s="2" t="s">
        <v>281</v>
      </c>
      <c r="B97" s="3" t="n">
        <v>4</v>
      </c>
      <c r="C97" s="4" t="n">
        <v>239950</v>
      </c>
      <c r="D97" s="3" t="s">
        <v>9</v>
      </c>
      <c r="E97" s="3" t="s">
        <v>65</v>
      </c>
      <c r="F97" s="2" t="s">
        <v>81</v>
      </c>
      <c r="G97" s="3" t="s">
        <v>25</v>
      </c>
      <c r="H97" s="5" t="s">
        <v>282</v>
      </c>
    </row>
    <row r="98" customFormat="false" ht="15" hidden="false" customHeight="false" outlineLevel="0" collapsed="false">
      <c r="A98" s="2" t="s">
        <v>283</v>
      </c>
      <c r="B98" s="3" t="n">
        <v>4</v>
      </c>
      <c r="C98" s="4" t="n">
        <v>249500</v>
      </c>
      <c r="D98" s="3" t="s">
        <v>9</v>
      </c>
      <c r="E98" s="3" t="s">
        <v>284</v>
      </c>
      <c r="F98" s="2" t="s">
        <v>11</v>
      </c>
      <c r="G98" s="3" t="s">
        <v>25</v>
      </c>
      <c r="H98" s="5" t="s">
        <v>285</v>
      </c>
    </row>
    <row r="99" customFormat="false" ht="15" hidden="false" customHeight="false" outlineLevel="0" collapsed="false">
      <c r="A99" s="2" t="s">
        <v>286</v>
      </c>
      <c r="B99" s="3" t="n">
        <v>4</v>
      </c>
      <c r="C99" s="4" t="n">
        <v>265000</v>
      </c>
      <c r="D99" s="3" t="s">
        <v>9</v>
      </c>
      <c r="E99" s="3" t="s">
        <v>287</v>
      </c>
      <c r="F99" s="2" t="s">
        <v>85</v>
      </c>
      <c r="G99" s="3" t="s">
        <v>17</v>
      </c>
      <c r="H99" s="5" t="s">
        <v>288</v>
      </c>
    </row>
    <row r="100" customFormat="false" ht="15" hidden="false" customHeight="false" outlineLevel="0" collapsed="false">
      <c r="A100" s="2" t="s">
        <v>289</v>
      </c>
      <c r="B100" s="3" t="n">
        <v>4</v>
      </c>
      <c r="C100" s="4" t="n">
        <v>265000</v>
      </c>
      <c r="D100" s="3" t="s">
        <v>9</v>
      </c>
      <c r="E100" s="3" t="s">
        <v>194</v>
      </c>
      <c r="F100" s="2" t="s">
        <v>290</v>
      </c>
      <c r="G100" s="3" t="s">
        <v>17</v>
      </c>
      <c r="H100" s="5" t="s">
        <v>291</v>
      </c>
    </row>
    <row r="101" customFormat="false" ht="15" hidden="false" customHeight="false" outlineLevel="0" collapsed="false">
      <c r="A101" s="2" t="s">
        <v>292</v>
      </c>
      <c r="B101" s="3" t="n">
        <v>4</v>
      </c>
      <c r="C101" s="4" t="n">
        <v>275000</v>
      </c>
      <c r="D101" s="3" t="s">
        <v>9</v>
      </c>
      <c r="E101" s="3" t="s">
        <v>293</v>
      </c>
      <c r="F101" s="2" t="s">
        <v>11</v>
      </c>
      <c r="G101" s="3" t="s">
        <v>17</v>
      </c>
      <c r="H101" s="5" t="s">
        <v>294</v>
      </c>
    </row>
    <row r="102" customFormat="false" ht="15" hidden="false" customHeight="false" outlineLevel="0" collapsed="false">
      <c r="A102" s="2" t="s">
        <v>295</v>
      </c>
      <c r="B102" s="3" t="n">
        <v>4</v>
      </c>
      <c r="C102" s="4" t="n">
        <v>285000</v>
      </c>
      <c r="D102" s="3" t="s">
        <v>9</v>
      </c>
      <c r="E102" s="3" t="s">
        <v>34</v>
      </c>
      <c r="F102" s="2" t="s">
        <v>11</v>
      </c>
      <c r="G102" s="3" t="s">
        <v>17</v>
      </c>
      <c r="H102" s="5" t="s">
        <v>296</v>
      </c>
    </row>
    <row r="103" customFormat="false" ht="15" hidden="false" customHeight="false" outlineLevel="0" collapsed="false">
      <c r="A103" s="2" t="s">
        <v>297</v>
      </c>
      <c r="B103" s="3" t="n">
        <v>4</v>
      </c>
      <c r="C103" s="4" t="n">
        <v>384950</v>
      </c>
      <c r="D103" s="3" t="s">
        <v>9</v>
      </c>
      <c r="E103" s="3" t="s">
        <v>166</v>
      </c>
      <c r="F103" s="2" t="s">
        <v>85</v>
      </c>
      <c r="G103" s="3" t="s">
        <v>17</v>
      </c>
      <c r="H103" s="5" t="s">
        <v>298</v>
      </c>
    </row>
    <row r="104" customFormat="false" ht="15" hidden="false" customHeight="false" outlineLevel="0" collapsed="false">
      <c r="A104" s="2" t="s">
        <v>299</v>
      </c>
      <c r="B104" s="3" t="n">
        <v>5</v>
      </c>
      <c r="C104" s="4" t="n">
        <v>225000</v>
      </c>
      <c r="D104" s="3" t="s">
        <v>9</v>
      </c>
      <c r="E104" s="3" t="s">
        <v>10</v>
      </c>
      <c r="F104" s="2" t="s">
        <v>59</v>
      </c>
      <c r="G104" s="3" t="s">
        <v>12</v>
      </c>
      <c r="H104" s="5" t="s">
        <v>300</v>
      </c>
    </row>
    <row r="105" customFormat="false" ht="15" hidden="false" customHeight="false" outlineLevel="0" collapsed="false">
      <c r="A105" s="2" t="s">
        <v>301</v>
      </c>
      <c r="B105" s="3" t="n">
        <v>5</v>
      </c>
      <c r="C105" s="4" t="n">
        <v>225000</v>
      </c>
      <c r="D105" s="3" t="s">
        <v>9</v>
      </c>
      <c r="E105" s="3" t="s">
        <v>302</v>
      </c>
      <c r="F105" s="2" t="s">
        <v>59</v>
      </c>
      <c r="G105" s="3" t="s">
        <v>17</v>
      </c>
      <c r="H105" s="5" t="s">
        <v>303</v>
      </c>
    </row>
    <row r="106" customFormat="false" ht="15" hidden="false" customHeight="false" outlineLevel="0" collapsed="false">
      <c r="A106" s="2" t="s">
        <v>304</v>
      </c>
      <c r="B106" s="3" t="n">
        <v>5</v>
      </c>
      <c r="C106" s="4" t="n">
        <v>350000</v>
      </c>
      <c r="D106" s="3" t="s">
        <v>9</v>
      </c>
      <c r="E106" s="3" t="s">
        <v>197</v>
      </c>
      <c r="F106" s="2" t="s">
        <v>59</v>
      </c>
      <c r="G106" s="3" t="s">
        <v>17</v>
      </c>
      <c r="H106" s="5" t="s">
        <v>305</v>
      </c>
    </row>
    <row r="107" customFormat="false" ht="15" hidden="false" customHeight="false" outlineLevel="0" collapsed="false">
      <c r="A107" s="2" t="s">
        <v>306</v>
      </c>
      <c r="B107" s="3" t="n">
        <v>5</v>
      </c>
      <c r="C107" s="4" t="n">
        <v>350000</v>
      </c>
      <c r="D107" s="3" t="s">
        <v>9</v>
      </c>
      <c r="E107" s="3" t="s">
        <v>149</v>
      </c>
      <c r="F107" s="2" t="s">
        <v>85</v>
      </c>
      <c r="G107" s="3" t="s">
        <v>17</v>
      </c>
      <c r="H107" s="5" t="s">
        <v>307</v>
      </c>
    </row>
    <row r="108" customFormat="false" ht="15" hidden="false" customHeight="false" outlineLevel="0" collapsed="false">
      <c r="A108" s="2" t="s">
        <v>308</v>
      </c>
      <c r="B108" s="3" t="n">
        <v>5</v>
      </c>
      <c r="C108" s="4" t="n">
        <v>415000</v>
      </c>
      <c r="D108" s="3" t="s">
        <v>9</v>
      </c>
      <c r="E108" s="3" t="s">
        <v>309</v>
      </c>
      <c r="F108" s="2" t="s">
        <v>59</v>
      </c>
      <c r="G108" s="3" t="s">
        <v>17</v>
      </c>
      <c r="H108" s="5" t="s">
        <v>310</v>
      </c>
    </row>
    <row r="109" customFormat="false" ht="15" hidden="false" customHeight="false" outlineLevel="0" collapsed="false">
      <c r="A109" s="2" t="s">
        <v>311</v>
      </c>
      <c r="B109" s="3" t="n">
        <v>5</v>
      </c>
      <c r="C109" s="4" t="n">
        <v>495000</v>
      </c>
      <c r="D109" s="3" t="s">
        <v>9</v>
      </c>
      <c r="E109" s="3" t="s">
        <v>68</v>
      </c>
      <c r="F109" s="2" t="s">
        <v>120</v>
      </c>
      <c r="G109" s="3" t="s">
        <v>25</v>
      </c>
      <c r="H109" s="5" t="s">
        <v>312</v>
      </c>
    </row>
    <row r="110" customFormat="false" ht="15" hidden="false" customHeight="false" outlineLevel="0" collapsed="false">
      <c r="A110" s="2" t="s">
        <v>313</v>
      </c>
      <c r="B110" s="3" t="n">
        <v>5</v>
      </c>
      <c r="C110" s="4" t="n">
        <v>525000</v>
      </c>
      <c r="D110" s="3" t="s">
        <v>9</v>
      </c>
      <c r="E110" s="3" t="s">
        <v>119</v>
      </c>
      <c r="F110" s="2" t="s">
        <v>314</v>
      </c>
      <c r="G110" s="3" t="s">
        <v>17</v>
      </c>
      <c r="H110" s="5" t="s">
        <v>315</v>
      </c>
    </row>
    <row r="111" customFormat="false" ht="15" hidden="false" customHeight="false" outlineLevel="0" collapsed="false">
      <c r="A111" s="2" t="s">
        <v>316</v>
      </c>
      <c r="B111" s="3" t="n">
        <v>6</v>
      </c>
      <c r="C111" s="4" t="n">
        <v>295000</v>
      </c>
      <c r="D111" s="3" t="s">
        <v>9</v>
      </c>
      <c r="E111" s="3" t="s">
        <v>317</v>
      </c>
      <c r="F111" s="2" t="s">
        <v>11</v>
      </c>
      <c r="G111" s="3" t="s">
        <v>17</v>
      </c>
      <c r="H111" s="5" t="s">
        <v>318</v>
      </c>
    </row>
    <row r="112" customFormat="false" ht="15" hidden="false" customHeight="false" outlineLevel="0" collapsed="false">
      <c r="A112" s="2" t="s">
        <v>319</v>
      </c>
      <c r="B112" s="3" t="n">
        <v>8</v>
      </c>
      <c r="C112" s="4" t="n">
        <v>265000</v>
      </c>
      <c r="D112" s="3" t="s">
        <v>9</v>
      </c>
      <c r="E112" s="3" t="s">
        <v>320</v>
      </c>
      <c r="F112" s="2" t="s">
        <v>321</v>
      </c>
      <c r="G112" s="3" t="s">
        <v>12</v>
      </c>
      <c r="H112" s="5" t="s">
        <v>322</v>
      </c>
    </row>
    <row r="113" customFormat="false" ht="15" hidden="false" customHeight="false" outlineLevel="0" collapsed="false">
      <c r="A113" s="2" t="s">
        <v>323</v>
      </c>
      <c r="B113" s="3" t="n">
        <v>8</v>
      </c>
      <c r="C113" s="4" t="n">
        <v>499950</v>
      </c>
      <c r="D113" s="3" t="s">
        <v>9</v>
      </c>
      <c r="E113" s="3" t="s">
        <v>68</v>
      </c>
      <c r="F113" s="2" t="s">
        <v>11</v>
      </c>
      <c r="G113" s="3" t="s">
        <v>25</v>
      </c>
      <c r="H113" s="5" t="s">
        <v>324</v>
      </c>
    </row>
    <row r="114" customFormat="false" ht="15" hidden="false" customHeight="false" outlineLevel="0" collapsed="false">
      <c r="A114" s="2" t="s">
        <v>325</v>
      </c>
      <c r="B114" s="3" t="n">
        <v>8</v>
      </c>
      <c r="C114" s="4" t="n">
        <v>700000</v>
      </c>
      <c r="D114" s="3" t="s">
        <v>9</v>
      </c>
      <c r="E114" s="3" t="s">
        <v>326</v>
      </c>
      <c r="F114" s="2" t="s">
        <v>321</v>
      </c>
      <c r="G114" s="3" t="s">
        <v>12</v>
      </c>
      <c r="H114" s="5" t="s">
        <v>327</v>
      </c>
    </row>
    <row r="115" customFormat="false" ht="15" hidden="false" customHeight="false" outlineLevel="0" collapsed="false">
      <c r="A115" s="2" t="s">
        <v>328</v>
      </c>
      <c r="B115" s="3" t="n">
        <v>1</v>
      </c>
      <c r="C115" s="4" t="n">
        <v>84950</v>
      </c>
      <c r="D115" s="3" t="s">
        <v>329</v>
      </c>
      <c r="E115" s="3" t="s">
        <v>24</v>
      </c>
      <c r="F115" s="2" t="s">
        <v>92</v>
      </c>
      <c r="G115" s="3" t="s">
        <v>12</v>
      </c>
      <c r="H115" s="5" t="s">
        <v>330</v>
      </c>
    </row>
    <row r="116" customFormat="false" ht="15" hidden="false" customHeight="false" outlineLevel="0" collapsed="false">
      <c r="A116" s="2" t="s">
        <v>331</v>
      </c>
      <c r="B116" s="3" t="n">
        <v>2</v>
      </c>
      <c r="C116" s="4" t="n">
        <v>79950</v>
      </c>
      <c r="D116" s="3" t="s">
        <v>329</v>
      </c>
      <c r="E116" s="3" t="s">
        <v>332</v>
      </c>
      <c r="F116" s="2" t="s">
        <v>11</v>
      </c>
      <c r="G116" s="3" t="s">
        <v>12</v>
      </c>
      <c r="H116" s="5" t="s">
        <v>333</v>
      </c>
    </row>
    <row r="117" customFormat="false" ht="15" hidden="false" customHeight="false" outlineLevel="0" collapsed="false">
      <c r="A117" s="2" t="s">
        <v>334</v>
      </c>
      <c r="B117" s="3" t="n">
        <v>2</v>
      </c>
      <c r="C117" s="4" t="n">
        <v>84950</v>
      </c>
      <c r="D117" s="3" t="s">
        <v>329</v>
      </c>
      <c r="E117" s="3" t="s">
        <v>293</v>
      </c>
      <c r="F117" s="2" t="s">
        <v>11</v>
      </c>
      <c r="G117" s="3" t="s">
        <v>21</v>
      </c>
      <c r="H117" s="5" t="s">
        <v>335</v>
      </c>
    </row>
    <row r="118" customFormat="false" ht="15" hidden="false" customHeight="false" outlineLevel="0" collapsed="false">
      <c r="A118" s="2" t="s">
        <v>336</v>
      </c>
      <c r="B118" s="3" t="n">
        <v>2</v>
      </c>
      <c r="C118" s="4" t="n">
        <v>89950</v>
      </c>
      <c r="D118" s="3" t="s">
        <v>329</v>
      </c>
      <c r="E118" s="3" t="s">
        <v>337</v>
      </c>
      <c r="F118" s="2" t="s">
        <v>59</v>
      </c>
      <c r="G118" s="3" t="s">
        <v>21</v>
      </c>
      <c r="H118" s="5" t="s">
        <v>338</v>
      </c>
    </row>
    <row r="119" customFormat="false" ht="15" hidden="false" customHeight="false" outlineLevel="0" collapsed="false">
      <c r="A119" s="2" t="s">
        <v>339</v>
      </c>
      <c r="B119" s="3" t="n">
        <v>2</v>
      </c>
      <c r="C119" s="4" t="n">
        <v>94950</v>
      </c>
      <c r="D119" s="3" t="s">
        <v>329</v>
      </c>
      <c r="E119" s="3" t="s">
        <v>114</v>
      </c>
      <c r="F119" s="2" t="s">
        <v>11</v>
      </c>
      <c r="G119" s="3" t="s">
        <v>21</v>
      </c>
      <c r="H119" s="5" t="s">
        <v>340</v>
      </c>
    </row>
    <row r="120" customFormat="false" ht="15" hidden="false" customHeight="false" outlineLevel="0" collapsed="false">
      <c r="A120" s="2" t="s">
        <v>341</v>
      </c>
      <c r="B120" s="3" t="n">
        <v>2</v>
      </c>
      <c r="C120" s="4" t="n">
        <v>97500</v>
      </c>
      <c r="D120" s="3" t="s">
        <v>329</v>
      </c>
      <c r="E120" s="3" t="s">
        <v>342</v>
      </c>
      <c r="F120" s="2" t="s">
        <v>11</v>
      </c>
      <c r="G120" s="3" t="s">
        <v>343</v>
      </c>
      <c r="H120" s="5" t="s">
        <v>344</v>
      </c>
    </row>
    <row r="121" customFormat="false" ht="15" hidden="false" customHeight="false" outlineLevel="0" collapsed="false">
      <c r="A121" s="2" t="s">
        <v>345</v>
      </c>
      <c r="B121" s="3" t="n">
        <v>2</v>
      </c>
      <c r="C121" s="4" t="n">
        <v>99950</v>
      </c>
      <c r="D121" s="3" t="s">
        <v>329</v>
      </c>
      <c r="E121" s="3" t="s">
        <v>346</v>
      </c>
      <c r="F121" s="2" t="s">
        <v>11</v>
      </c>
      <c r="G121" s="3" t="s">
        <v>21</v>
      </c>
      <c r="H121" s="5" t="s">
        <v>347</v>
      </c>
    </row>
    <row r="122" customFormat="false" ht="15" hidden="false" customHeight="false" outlineLevel="0" collapsed="false">
      <c r="A122" s="2" t="s">
        <v>348</v>
      </c>
      <c r="B122" s="3" t="n">
        <v>2</v>
      </c>
      <c r="C122" s="4" t="n">
        <v>99950</v>
      </c>
      <c r="D122" s="3" t="s">
        <v>329</v>
      </c>
      <c r="E122" s="3" t="s">
        <v>166</v>
      </c>
      <c r="F122" s="2" t="s">
        <v>59</v>
      </c>
      <c r="G122" s="3" t="s">
        <v>21</v>
      </c>
      <c r="H122" s="5" t="s">
        <v>349</v>
      </c>
    </row>
    <row r="123" customFormat="false" ht="15" hidden="false" customHeight="false" outlineLevel="0" collapsed="false">
      <c r="A123" s="2" t="s">
        <v>350</v>
      </c>
      <c r="B123" s="3" t="n">
        <v>2</v>
      </c>
      <c r="C123" s="4" t="n">
        <v>99950</v>
      </c>
      <c r="D123" s="3" t="s">
        <v>329</v>
      </c>
      <c r="E123" s="3" t="s">
        <v>351</v>
      </c>
      <c r="F123" s="2" t="s">
        <v>59</v>
      </c>
      <c r="G123" s="3" t="s">
        <v>21</v>
      </c>
      <c r="H123" s="5" t="s">
        <v>352</v>
      </c>
    </row>
    <row r="124" customFormat="false" ht="15" hidden="false" customHeight="false" outlineLevel="0" collapsed="false">
      <c r="A124" s="2" t="s">
        <v>353</v>
      </c>
      <c r="B124" s="3" t="n">
        <v>2</v>
      </c>
      <c r="C124" s="4" t="n">
        <v>99950</v>
      </c>
      <c r="D124" s="3" t="s">
        <v>329</v>
      </c>
      <c r="E124" s="3" t="s">
        <v>203</v>
      </c>
      <c r="F124" s="2" t="s">
        <v>11</v>
      </c>
      <c r="G124" s="3" t="s">
        <v>25</v>
      </c>
      <c r="H124" s="5" t="s">
        <v>354</v>
      </c>
    </row>
    <row r="125" customFormat="false" ht="15" hidden="false" customHeight="false" outlineLevel="0" collapsed="false">
      <c r="A125" s="2" t="s">
        <v>355</v>
      </c>
      <c r="B125" s="3" t="n">
        <v>2</v>
      </c>
      <c r="C125" s="4" t="n">
        <v>105000</v>
      </c>
      <c r="D125" s="3" t="s">
        <v>329</v>
      </c>
      <c r="E125" s="3" t="s">
        <v>52</v>
      </c>
      <c r="F125" s="2" t="s">
        <v>11</v>
      </c>
      <c r="G125" s="3" t="s">
        <v>12</v>
      </c>
      <c r="H125" s="5" t="s">
        <v>356</v>
      </c>
    </row>
    <row r="126" customFormat="false" ht="15" hidden="false" customHeight="false" outlineLevel="0" collapsed="false">
      <c r="A126" s="2" t="s">
        <v>357</v>
      </c>
      <c r="B126" s="3" t="n">
        <v>2</v>
      </c>
      <c r="C126" s="4" t="n">
        <v>105000</v>
      </c>
      <c r="D126" s="3" t="s">
        <v>329</v>
      </c>
      <c r="E126" s="3" t="s">
        <v>358</v>
      </c>
      <c r="F126" s="2" t="s">
        <v>11</v>
      </c>
      <c r="G126" s="3" t="s">
        <v>17</v>
      </c>
      <c r="H126" s="5" t="s">
        <v>359</v>
      </c>
    </row>
    <row r="127" customFormat="false" ht="15" hidden="false" customHeight="false" outlineLevel="0" collapsed="false">
      <c r="A127" s="2" t="s">
        <v>360</v>
      </c>
      <c r="B127" s="3" t="n">
        <v>2</v>
      </c>
      <c r="C127" s="4" t="n">
        <v>109950</v>
      </c>
      <c r="D127" s="3" t="s">
        <v>329</v>
      </c>
      <c r="E127" s="3" t="s">
        <v>361</v>
      </c>
      <c r="F127" s="2" t="s">
        <v>81</v>
      </c>
      <c r="G127" s="3" t="s">
        <v>25</v>
      </c>
      <c r="H127" s="5" t="s">
        <v>362</v>
      </c>
    </row>
    <row r="128" customFormat="false" ht="15" hidden="false" customHeight="false" outlineLevel="0" collapsed="false">
      <c r="A128" s="2" t="s">
        <v>363</v>
      </c>
      <c r="B128" s="3" t="n">
        <v>2</v>
      </c>
      <c r="C128" s="4" t="n">
        <v>110000</v>
      </c>
      <c r="D128" s="3" t="s">
        <v>329</v>
      </c>
      <c r="E128" s="3" t="s">
        <v>351</v>
      </c>
      <c r="F128" s="2" t="s">
        <v>16</v>
      </c>
      <c r="G128" s="3" t="s">
        <v>343</v>
      </c>
      <c r="H128" s="5" t="s">
        <v>364</v>
      </c>
    </row>
    <row r="129" customFormat="false" ht="15" hidden="false" customHeight="false" outlineLevel="0" collapsed="false">
      <c r="A129" s="2" t="s">
        <v>365</v>
      </c>
      <c r="B129" s="3" t="n">
        <v>2</v>
      </c>
      <c r="C129" s="4" t="n">
        <v>114950</v>
      </c>
      <c r="D129" s="3" t="s">
        <v>329</v>
      </c>
      <c r="E129" s="3" t="s">
        <v>366</v>
      </c>
      <c r="F129" s="2" t="s">
        <v>11</v>
      </c>
      <c r="G129" s="3" t="s">
        <v>12</v>
      </c>
      <c r="H129" s="5" t="s">
        <v>367</v>
      </c>
    </row>
    <row r="130" customFormat="false" ht="15" hidden="false" customHeight="false" outlineLevel="0" collapsed="false">
      <c r="A130" s="2" t="s">
        <v>368</v>
      </c>
      <c r="B130" s="3" t="n">
        <v>2</v>
      </c>
      <c r="C130" s="4" t="n">
        <v>114950</v>
      </c>
      <c r="D130" s="3" t="s">
        <v>329</v>
      </c>
      <c r="E130" s="3" t="s">
        <v>369</v>
      </c>
      <c r="F130" s="2" t="s">
        <v>11</v>
      </c>
      <c r="G130" s="3" t="s">
        <v>12</v>
      </c>
      <c r="H130" s="5" t="s">
        <v>370</v>
      </c>
    </row>
    <row r="131" customFormat="false" ht="15" hidden="false" customHeight="false" outlineLevel="0" collapsed="false">
      <c r="A131" s="2" t="s">
        <v>371</v>
      </c>
      <c r="B131" s="3" t="n">
        <v>2</v>
      </c>
      <c r="C131" s="4" t="n">
        <v>115000</v>
      </c>
      <c r="D131" s="3" t="s">
        <v>329</v>
      </c>
      <c r="E131" s="3" t="s">
        <v>372</v>
      </c>
      <c r="F131" s="2" t="s">
        <v>11</v>
      </c>
      <c r="G131" s="3" t="s">
        <v>343</v>
      </c>
      <c r="H131" s="5" t="s">
        <v>373</v>
      </c>
    </row>
    <row r="132" customFormat="false" ht="15" hidden="false" customHeight="false" outlineLevel="0" collapsed="false">
      <c r="A132" s="2" t="s">
        <v>374</v>
      </c>
      <c r="B132" s="3" t="n">
        <v>2</v>
      </c>
      <c r="C132" s="4" t="n">
        <v>115000</v>
      </c>
      <c r="D132" s="3" t="s">
        <v>329</v>
      </c>
      <c r="E132" s="3" t="s">
        <v>375</v>
      </c>
      <c r="F132" s="2" t="s">
        <v>11</v>
      </c>
      <c r="G132" s="3" t="s">
        <v>343</v>
      </c>
      <c r="H132" s="5" t="s">
        <v>376</v>
      </c>
    </row>
    <row r="133" customFormat="false" ht="15" hidden="false" customHeight="false" outlineLevel="0" collapsed="false">
      <c r="A133" s="2" t="s">
        <v>377</v>
      </c>
      <c r="B133" s="3" t="n">
        <v>2</v>
      </c>
      <c r="C133" s="4" t="n">
        <v>119500</v>
      </c>
      <c r="D133" s="3" t="s">
        <v>329</v>
      </c>
      <c r="E133" s="3" t="s">
        <v>223</v>
      </c>
      <c r="F133" s="2" t="s">
        <v>59</v>
      </c>
      <c r="G133" s="3" t="s">
        <v>17</v>
      </c>
      <c r="H133" s="5" t="s">
        <v>378</v>
      </c>
    </row>
    <row r="134" customFormat="false" ht="15" hidden="false" customHeight="false" outlineLevel="0" collapsed="false">
      <c r="A134" s="2" t="s">
        <v>379</v>
      </c>
      <c r="B134" s="3" t="n">
        <v>2</v>
      </c>
      <c r="C134" s="4" t="n">
        <v>119950</v>
      </c>
      <c r="D134" s="3" t="s">
        <v>329</v>
      </c>
      <c r="E134" s="3" t="s">
        <v>380</v>
      </c>
      <c r="F134" s="2" t="s">
        <v>381</v>
      </c>
      <c r="G134" s="3" t="s">
        <v>17</v>
      </c>
      <c r="H134" s="5" t="s">
        <v>382</v>
      </c>
    </row>
    <row r="135" customFormat="false" ht="15" hidden="false" customHeight="false" outlineLevel="0" collapsed="false">
      <c r="A135" s="2" t="s">
        <v>383</v>
      </c>
      <c r="B135" s="3" t="n">
        <v>2</v>
      </c>
      <c r="C135" s="4" t="n">
        <v>119950</v>
      </c>
      <c r="D135" s="3" t="s">
        <v>329</v>
      </c>
      <c r="E135" s="3" t="s">
        <v>372</v>
      </c>
      <c r="F135" s="2" t="s">
        <v>59</v>
      </c>
      <c r="G135" s="3" t="s">
        <v>17</v>
      </c>
      <c r="H135" s="5" t="s">
        <v>384</v>
      </c>
    </row>
    <row r="136" customFormat="false" ht="15" hidden="false" customHeight="false" outlineLevel="0" collapsed="false">
      <c r="A136" s="2" t="s">
        <v>385</v>
      </c>
      <c r="B136" s="3" t="n">
        <v>2</v>
      </c>
      <c r="C136" s="4" t="n">
        <v>119950</v>
      </c>
      <c r="D136" s="3" t="s">
        <v>329</v>
      </c>
      <c r="E136" s="3" t="s">
        <v>31</v>
      </c>
      <c r="F136" s="2" t="s">
        <v>11</v>
      </c>
      <c r="G136" s="3" t="s">
        <v>25</v>
      </c>
      <c r="H136" s="5" t="s">
        <v>386</v>
      </c>
    </row>
    <row r="137" customFormat="false" ht="15" hidden="false" customHeight="false" outlineLevel="0" collapsed="false">
      <c r="A137" s="2" t="s">
        <v>387</v>
      </c>
      <c r="B137" s="3" t="n">
        <v>2</v>
      </c>
      <c r="C137" s="4" t="n">
        <v>120000</v>
      </c>
      <c r="D137" s="3" t="s">
        <v>329</v>
      </c>
      <c r="E137" s="3" t="s">
        <v>351</v>
      </c>
      <c r="F137" s="2" t="s">
        <v>11</v>
      </c>
      <c r="G137" s="3" t="s">
        <v>21</v>
      </c>
      <c r="H137" s="5" t="s">
        <v>388</v>
      </c>
    </row>
    <row r="138" customFormat="false" ht="15" hidden="false" customHeight="false" outlineLevel="0" collapsed="false">
      <c r="A138" s="2" t="s">
        <v>389</v>
      </c>
      <c r="B138" s="3" t="n">
        <v>2</v>
      </c>
      <c r="C138" s="4" t="n">
        <v>124950</v>
      </c>
      <c r="D138" s="3" t="s">
        <v>329</v>
      </c>
      <c r="E138" s="3" t="s">
        <v>302</v>
      </c>
      <c r="F138" s="2" t="s">
        <v>59</v>
      </c>
      <c r="G138" s="3" t="s">
        <v>12</v>
      </c>
      <c r="H138" s="5" t="s">
        <v>390</v>
      </c>
    </row>
    <row r="139" customFormat="false" ht="15" hidden="false" customHeight="false" outlineLevel="0" collapsed="false">
      <c r="A139" s="2" t="s">
        <v>391</v>
      </c>
      <c r="B139" s="3" t="n">
        <v>2</v>
      </c>
      <c r="C139" s="4" t="n">
        <v>124950</v>
      </c>
      <c r="D139" s="3" t="s">
        <v>329</v>
      </c>
      <c r="E139" s="3" t="s">
        <v>326</v>
      </c>
      <c r="F139" s="2" t="s">
        <v>59</v>
      </c>
      <c r="G139" s="3" t="s">
        <v>12</v>
      </c>
      <c r="H139" s="5" t="s">
        <v>392</v>
      </c>
    </row>
    <row r="140" customFormat="false" ht="15" hidden="false" customHeight="false" outlineLevel="0" collapsed="false">
      <c r="A140" s="2" t="s">
        <v>393</v>
      </c>
      <c r="B140" s="3" t="n">
        <v>2</v>
      </c>
      <c r="C140" s="4" t="n">
        <v>124950</v>
      </c>
      <c r="D140" s="3" t="s">
        <v>329</v>
      </c>
      <c r="E140" s="3" t="s">
        <v>231</v>
      </c>
      <c r="F140" s="2" t="s">
        <v>11</v>
      </c>
      <c r="G140" s="3" t="s">
        <v>25</v>
      </c>
      <c r="H140" s="5" t="s">
        <v>394</v>
      </c>
    </row>
    <row r="141" customFormat="false" ht="15" hidden="false" customHeight="false" outlineLevel="0" collapsed="false">
      <c r="A141" s="2" t="s">
        <v>395</v>
      </c>
      <c r="B141" s="3" t="n">
        <v>2</v>
      </c>
      <c r="C141" s="4" t="n">
        <v>124950</v>
      </c>
      <c r="D141" s="3" t="s">
        <v>329</v>
      </c>
      <c r="E141" s="3" t="s">
        <v>396</v>
      </c>
      <c r="F141" s="2" t="s">
        <v>59</v>
      </c>
      <c r="G141" s="3" t="s">
        <v>12</v>
      </c>
      <c r="H141" s="5" t="s">
        <v>397</v>
      </c>
    </row>
    <row r="142" customFormat="false" ht="15" hidden="false" customHeight="false" outlineLevel="0" collapsed="false">
      <c r="A142" s="2" t="s">
        <v>398</v>
      </c>
      <c r="B142" s="3" t="n">
        <v>2</v>
      </c>
      <c r="C142" s="4" t="n">
        <v>124950</v>
      </c>
      <c r="D142" s="3" t="s">
        <v>329</v>
      </c>
      <c r="E142" s="3" t="s">
        <v>156</v>
      </c>
      <c r="F142" s="2" t="s">
        <v>11</v>
      </c>
      <c r="G142" s="3" t="s">
        <v>12</v>
      </c>
      <c r="H142" s="5" t="s">
        <v>399</v>
      </c>
    </row>
    <row r="143" customFormat="false" ht="15" hidden="false" customHeight="false" outlineLevel="0" collapsed="false">
      <c r="A143" s="2" t="s">
        <v>400</v>
      </c>
      <c r="B143" s="3" t="n">
        <v>2</v>
      </c>
      <c r="C143" s="4" t="n">
        <v>124950</v>
      </c>
      <c r="D143" s="3" t="s">
        <v>329</v>
      </c>
      <c r="E143" s="3" t="s">
        <v>401</v>
      </c>
      <c r="F143" s="2" t="s">
        <v>16</v>
      </c>
      <c r="G143" s="3" t="s">
        <v>17</v>
      </c>
      <c r="H143" s="5" t="s">
        <v>402</v>
      </c>
    </row>
    <row r="144" customFormat="false" ht="15" hidden="false" customHeight="false" outlineLevel="0" collapsed="false">
      <c r="A144" s="2" t="s">
        <v>403</v>
      </c>
      <c r="B144" s="3" t="n">
        <v>2</v>
      </c>
      <c r="C144" s="4" t="n">
        <v>124950</v>
      </c>
      <c r="D144" s="3" t="s">
        <v>329</v>
      </c>
      <c r="E144" s="3" t="s">
        <v>404</v>
      </c>
      <c r="F144" s="2" t="s">
        <v>81</v>
      </c>
      <c r="G144" s="3" t="s">
        <v>12</v>
      </c>
      <c r="H144" s="5" t="s">
        <v>405</v>
      </c>
    </row>
    <row r="145" customFormat="false" ht="15" hidden="false" customHeight="false" outlineLevel="0" collapsed="false">
      <c r="A145" s="2" t="s">
        <v>406</v>
      </c>
      <c r="B145" s="3" t="n">
        <v>2</v>
      </c>
      <c r="C145" s="4" t="n">
        <v>129950</v>
      </c>
      <c r="D145" s="3" t="s">
        <v>329</v>
      </c>
      <c r="E145" s="3" t="s">
        <v>106</v>
      </c>
      <c r="F145" s="2" t="s">
        <v>11</v>
      </c>
      <c r="G145" s="3" t="s">
        <v>21</v>
      </c>
      <c r="H145" s="5" t="s">
        <v>407</v>
      </c>
    </row>
    <row r="146" customFormat="false" ht="15" hidden="false" customHeight="false" outlineLevel="0" collapsed="false">
      <c r="A146" s="2" t="s">
        <v>408</v>
      </c>
      <c r="B146" s="3" t="n">
        <v>2</v>
      </c>
      <c r="C146" s="4" t="n">
        <v>129950</v>
      </c>
      <c r="D146" s="3" t="s">
        <v>329</v>
      </c>
      <c r="E146" s="3" t="s">
        <v>409</v>
      </c>
      <c r="F146" s="2" t="s">
        <v>11</v>
      </c>
      <c r="G146" s="3" t="s">
        <v>12</v>
      </c>
      <c r="H146" s="5" t="s">
        <v>410</v>
      </c>
    </row>
    <row r="147" customFormat="false" ht="15" hidden="false" customHeight="false" outlineLevel="0" collapsed="false">
      <c r="A147" s="2" t="s">
        <v>411</v>
      </c>
      <c r="B147" s="3" t="n">
        <v>2</v>
      </c>
      <c r="C147" s="4" t="n">
        <v>129950</v>
      </c>
      <c r="D147" s="3" t="s">
        <v>329</v>
      </c>
      <c r="E147" s="3" t="s">
        <v>412</v>
      </c>
      <c r="F147" s="2" t="s">
        <v>11</v>
      </c>
      <c r="G147" s="3" t="s">
        <v>17</v>
      </c>
      <c r="H147" s="5" t="s">
        <v>413</v>
      </c>
    </row>
    <row r="148" customFormat="false" ht="15" hidden="false" customHeight="false" outlineLevel="0" collapsed="false">
      <c r="A148" s="2" t="s">
        <v>414</v>
      </c>
      <c r="B148" s="3" t="n">
        <v>2</v>
      </c>
      <c r="C148" s="4" t="n">
        <v>129950</v>
      </c>
      <c r="D148" s="3" t="s">
        <v>329</v>
      </c>
      <c r="E148" s="3" t="s">
        <v>10</v>
      </c>
      <c r="F148" s="2" t="s">
        <v>11</v>
      </c>
      <c r="G148" s="3" t="s">
        <v>17</v>
      </c>
      <c r="H148" s="5" t="s">
        <v>415</v>
      </c>
    </row>
    <row r="149" customFormat="false" ht="15" hidden="false" customHeight="false" outlineLevel="0" collapsed="false">
      <c r="A149" s="2" t="s">
        <v>416</v>
      </c>
      <c r="B149" s="3" t="n">
        <v>2</v>
      </c>
      <c r="C149" s="4" t="n">
        <v>129950</v>
      </c>
      <c r="D149" s="3" t="s">
        <v>329</v>
      </c>
      <c r="E149" s="3" t="s">
        <v>65</v>
      </c>
      <c r="F149" s="2" t="s">
        <v>59</v>
      </c>
      <c r="G149" s="3" t="s">
        <v>12</v>
      </c>
      <c r="H149" s="5" t="s">
        <v>417</v>
      </c>
    </row>
    <row r="150" customFormat="false" ht="15" hidden="false" customHeight="false" outlineLevel="0" collapsed="false">
      <c r="A150" s="2" t="s">
        <v>418</v>
      </c>
      <c r="B150" s="3" t="n">
        <v>2</v>
      </c>
      <c r="C150" s="4" t="n">
        <v>134950</v>
      </c>
      <c r="D150" s="3" t="s">
        <v>329</v>
      </c>
      <c r="E150" s="3" t="s">
        <v>245</v>
      </c>
      <c r="F150" s="2" t="s">
        <v>59</v>
      </c>
      <c r="G150" s="3" t="s">
        <v>25</v>
      </c>
      <c r="H150" s="5" t="s">
        <v>419</v>
      </c>
    </row>
    <row r="151" customFormat="false" ht="15" hidden="false" customHeight="false" outlineLevel="0" collapsed="false">
      <c r="A151" s="2" t="s">
        <v>420</v>
      </c>
      <c r="B151" s="3" t="n">
        <v>2</v>
      </c>
      <c r="C151" s="4" t="n">
        <v>135000</v>
      </c>
      <c r="D151" s="3" t="s">
        <v>329</v>
      </c>
      <c r="E151" s="3" t="s">
        <v>421</v>
      </c>
      <c r="F151" s="2" t="s">
        <v>11</v>
      </c>
      <c r="G151" s="3" t="s">
        <v>17</v>
      </c>
      <c r="H151" s="5" t="s">
        <v>422</v>
      </c>
    </row>
    <row r="152" customFormat="false" ht="15" hidden="false" customHeight="false" outlineLevel="0" collapsed="false">
      <c r="A152" s="2" t="s">
        <v>423</v>
      </c>
      <c r="B152" s="3" t="n">
        <v>2</v>
      </c>
      <c r="C152" s="4" t="n">
        <v>139950</v>
      </c>
      <c r="D152" s="3" t="s">
        <v>329</v>
      </c>
      <c r="E152" s="3" t="s">
        <v>218</v>
      </c>
      <c r="F152" s="2" t="s">
        <v>11</v>
      </c>
      <c r="G152" s="3" t="s">
        <v>25</v>
      </c>
      <c r="H152" s="5" t="s">
        <v>424</v>
      </c>
    </row>
    <row r="153" customFormat="false" ht="15" hidden="false" customHeight="false" outlineLevel="0" collapsed="false">
      <c r="A153" s="2" t="s">
        <v>425</v>
      </c>
      <c r="B153" s="3" t="n">
        <v>2</v>
      </c>
      <c r="C153" s="4" t="n">
        <v>139950</v>
      </c>
      <c r="D153" s="3" t="s">
        <v>329</v>
      </c>
      <c r="E153" s="3" t="s">
        <v>426</v>
      </c>
      <c r="F153" s="2" t="s">
        <v>16</v>
      </c>
      <c r="G153" s="3" t="s">
        <v>17</v>
      </c>
      <c r="H153" s="5" t="s">
        <v>427</v>
      </c>
    </row>
    <row r="154" customFormat="false" ht="15" hidden="false" customHeight="false" outlineLevel="0" collapsed="false">
      <c r="A154" s="2" t="s">
        <v>428</v>
      </c>
      <c r="B154" s="3" t="n">
        <v>2</v>
      </c>
      <c r="C154" s="4" t="n">
        <v>139950</v>
      </c>
      <c r="D154" s="3" t="s">
        <v>329</v>
      </c>
      <c r="E154" s="3" t="s">
        <v>429</v>
      </c>
      <c r="F154" s="2" t="s">
        <v>430</v>
      </c>
      <c r="G154" s="3" t="s">
        <v>343</v>
      </c>
      <c r="H154" s="5" t="s">
        <v>431</v>
      </c>
    </row>
    <row r="155" customFormat="false" ht="15" hidden="false" customHeight="false" outlineLevel="0" collapsed="false">
      <c r="A155" s="2" t="s">
        <v>432</v>
      </c>
      <c r="B155" s="3" t="n">
        <v>2</v>
      </c>
      <c r="C155" s="4" t="n">
        <v>143000</v>
      </c>
      <c r="D155" s="3" t="s">
        <v>329</v>
      </c>
      <c r="E155" s="3" t="s">
        <v>433</v>
      </c>
      <c r="F155" s="2" t="s">
        <v>120</v>
      </c>
      <c r="G155" s="3" t="s">
        <v>12</v>
      </c>
      <c r="H155" s="5" t="s">
        <v>434</v>
      </c>
    </row>
    <row r="156" customFormat="false" ht="15" hidden="false" customHeight="false" outlineLevel="0" collapsed="false">
      <c r="A156" s="2" t="s">
        <v>435</v>
      </c>
      <c r="B156" s="3" t="n">
        <v>2</v>
      </c>
      <c r="C156" s="4" t="n">
        <v>145000</v>
      </c>
      <c r="D156" s="3" t="s">
        <v>329</v>
      </c>
      <c r="E156" s="3" t="s">
        <v>20</v>
      </c>
      <c r="F156" s="2" t="s">
        <v>11</v>
      </c>
      <c r="G156" s="3" t="s">
        <v>12</v>
      </c>
      <c r="H156" s="5" t="s">
        <v>436</v>
      </c>
    </row>
    <row r="157" customFormat="false" ht="15" hidden="false" customHeight="false" outlineLevel="0" collapsed="false">
      <c r="A157" s="2" t="s">
        <v>437</v>
      </c>
      <c r="B157" s="3" t="n">
        <v>2</v>
      </c>
      <c r="C157" s="4" t="n">
        <v>145000</v>
      </c>
      <c r="D157" s="3" t="s">
        <v>329</v>
      </c>
      <c r="E157" s="3" t="s">
        <v>215</v>
      </c>
      <c r="F157" s="2" t="s">
        <v>11</v>
      </c>
      <c r="G157" s="3" t="s">
        <v>12</v>
      </c>
      <c r="H157" s="5" t="s">
        <v>438</v>
      </c>
    </row>
    <row r="158" customFormat="false" ht="15" hidden="false" customHeight="false" outlineLevel="0" collapsed="false">
      <c r="A158" s="2" t="s">
        <v>439</v>
      </c>
      <c r="B158" s="3" t="n">
        <v>2</v>
      </c>
      <c r="C158" s="4" t="n">
        <v>169500</v>
      </c>
      <c r="D158" s="3" t="s">
        <v>329</v>
      </c>
      <c r="E158" s="3" t="s">
        <v>440</v>
      </c>
      <c r="F158" s="2" t="s">
        <v>16</v>
      </c>
      <c r="G158" s="3" t="s">
        <v>17</v>
      </c>
      <c r="H158" s="5" t="s">
        <v>441</v>
      </c>
    </row>
    <row r="159" customFormat="false" ht="15" hidden="false" customHeight="false" outlineLevel="0" collapsed="false">
      <c r="A159" s="2" t="s">
        <v>442</v>
      </c>
      <c r="B159" s="3" t="n">
        <v>2</v>
      </c>
      <c r="C159" s="4" t="n">
        <v>175000</v>
      </c>
      <c r="D159" s="3" t="s">
        <v>329</v>
      </c>
      <c r="E159" s="3" t="s">
        <v>443</v>
      </c>
      <c r="F159" s="2" t="s">
        <v>16</v>
      </c>
      <c r="G159" s="3" t="s">
        <v>17</v>
      </c>
      <c r="H159" s="5" t="s">
        <v>444</v>
      </c>
    </row>
    <row r="160" customFormat="false" ht="15" hidden="false" customHeight="false" outlineLevel="0" collapsed="false">
      <c r="A160" s="2" t="s">
        <v>445</v>
      </c>
      <c r="B160" s="3" t="n">
        <v>2</v>
      </c>
      <c r="C160" s="4" t="n">
        <v>178500</v>
      </c>
      <c r="D160" s="3" t="s">
        <v>329</v>
      </c>
      <c r="E160" s="3" t="s">
        <v>342</v>
      </c>
      <c r="F160" s="2" t="s">
        <v>16</v>
      </c>
      <c r="G160" s="3" t="s">
        <v>21</v>
      </c>
      <c r="H160" s="5" t="s">
        <v>446</v>
      </c>
    </row>
    <row r="161" customFormat="false" ht="15" hidden="false" customHeight="false" outlineLevel="0" collapsed="false">
      <c r="A161" s="2" t="s">
        <v>447</v>
      </c>
      <c r="B161" s="3" t="n">
        <v>2</v>
      </c>
      <c r="C161" s="4" t="n">
        <v>179500</v>
      </c>
      <c r="D161" s="3" t="s">
        <v>329</v>
      </c>
      <c r="E161" s="3" t="s">
        <v>88</v>
      </c>
      <c r="F161" s="2" t="s">
        <v>16</v>
      </c>
      <c r="G161" s="3" t="s">
        <v>12</v>
      </c>
      <c r="H161" s="5" t="s">
        <v>448</v>
      </c>
    </row>
    <row r="162" customFormat="false" ht="15" hidden="false" customHeight="false" outlineLevel="0" collapsed="false">
      <c r="A162" s="2" t="s">
        <v>449</v>
      </c>
      <c r="B162" s="3" t="n">
        <v>2</v>
      </c>
      <c r="C162" s="4" t="n">
        <v>179950</v>
      </c>
      <c r="D162" s="3" t="s">
        <v>329</v>
      </c>
      <c r="E162" s="3" t="s">
        <v>450</v>
      </c>
      <c r="F162" s="2" t="s">
        <v>92</v>
      </c>
      <c r="G162" s="3" t="s">
        <v>12</v>
      </c>
      <c r="H162" s="5" t="s">
        <v>451</v>
      </c>
    </row>
    <row r="163" customFormat="false" ht="15" hidden="false" customHeight="false" outlineLevel="0" collapsed="false">
      <c r="A163" s="2" t="s">
        <v>452</v>
      </c>
      <c r="B163" s="3" t="n">
        <v>2</v>
      </c>
      <c r="C163" s="4" t="n">
        <v>185000</v>
      </c>
      <c r="D163" s="3" t="s">
        <v>329</v>
      </c>
      <c r="E163" s="3" t="s">
        <v>453</v>
      </c>
      <c r="F163" s="2" t="s">
        <v>16</v>
      </c>
      <c r="G163" s="3" t="s">
        <v>12</v>
      </c>
      <c r="H163" s="5" t="s">
        <v>454</v>
      </c>
    </row>
    <row r="164" customFormat="false" ht="15" hidden="false" customHeight="false" outlineLevel="0" collapsed="false">
      <c r="A164" s="2" t="s">
        <v>455</v>
      </c>
      <c r="B164" s="3" t="n">
        <v>3</v>
      </c>
      <c r="C164" s="4" t="n">
        <v>59950</v>
      </c>
      <c r="D164" s="3" t="s">
        <v>329</v>
      </c>
      <c r="E164" s="3" t="s">
        <v>404</v>
      </c>
      <c r="F164" s="2" t="s">
        <v>59</v>
      </c>
      <c r="G164" s="3" t="s">
        <v>17</v>
      </c>
      <c r="H164" s="5" t="s">
        <v>456</v>
      </c>
    </row>
    <row r="165" customFormat="false" ht="15" hidden="false" customHeight="false" outlineLevel="0" collapsed="false">
      <c r="A165" s="2" t="s">
        <v>457</v>
      </c>
      <c r="B165" s="3" t="n">
        <v>3</v>
      </c>
      <c r="C165" s="4" t="n">
        <v>79950</v>
      </c>
      <c r="D165" s="3" t="s">
        <v>329</v>
      </c>
      <c r="E165" s="3" t="s">
        <v>458</v>
      </c>
      <c r="F165" s="2" t="s">
        <v>11</v>
      </c>
      <c r="G165" s="3" t="s">
        <v>21</v>
      </c>
      <c r="H165" s="5" t="s">
        <v>459</v>
      </c>
    </row>
    <row r="166" customFormat="false" ht="15" hidden="false" customHeight="false" outlineLevel="0" collapsed="false">
      <c r="A166" s="2" t="s">
        <v>460</v>
      </c>
      <c r="B166" s="3" t="n">
        <v>3</v>
      </c>
      <c r="C166" s="4" t="n">
        <v>95000</v>
      </c>
      <c r="D166" s="3" t="s">
        <v>329</v>
      </c>
      <c r="E166" s="3" t="s">
        <v>95</v>
      </c>
      <c r="F166" s="2" t="s">
        <v>11</v>
      </c>
      <c r="G166" s="3" t="s">
        <v>343</v>
      </c>
      <c r="H166" s="5" t="s">
        <v>461</v>
      </c>
    </row>
    <row r="167" customFormat="false" ht="15" hidden="false" customHeight="false" outlineLevel="0" collapsed="false">
      <c r="A167" s="2" t="s">
        <v>462</v>
      </c>
      <c r="B167" s="3" t="n">
        <v>3</v>
      </c>
      <c r="C167" s="4" t="n">
        <v>99950</v>
      </c>
      <c r="D167" s="3" t="s">
        <v>329</v>
      </c>
      <c r="E167" s="3" t="s">
        <v>106</v>
      </c>
      <c r="F167" s="2" t="s">
        <v>59</v>
      </c>
      <c r="G167" s="3" t="s">
        <v>17</v>
      </c>
      <c r="H167" s="5" t="s">
        <v>463</v>
      </c>
    </row>
    <row r="168" customFormat="false" ht="15" hidden="false" customHeight="false" outlineLevel="0" collapsed="false">
      <c r="A168" s="2" t="s">
        <v>464</v>
      </c>
      <c r="B168" s="3" t="n">
        <v>3</v>
      </c>
      <c r="C168" s="4" t="n">
        <v>99950</v>
      </c>
      <c r="D168" s="3" t="s">
        <v>329</v>
      </c>
      <c r="E168" s="3" t="s">
        <v>52</v>
      </c>
      <c r="F168" s="2" t="s">
        <v>11</v>
      </c>
      <c r="G168" s="3" t="s">
        <v>21</v>
      </c>
      <c r="H168" s="5" t="s">
        <v>465</v>
      </c>
    </row>
    <row r="169" customFormat="false" ht="15" hidden="false" customHeight="false" outlineLevel="0" collapsed="false">
      <c r="A169" s="2" t="s">
        <v>466</v>
      </c>
      <c r="B169" s="3" t="n">
        <v>3</v>
      </c>
      <c r="C169" s="4" t="n">
        <v>110000</v>
      </c>
      <c r="D169" s="3" t="s">
        <v>329</v>
      </c>
      <c r="E169" s="3" t="s">
        <v>62</v>
      </c>
      <c r="F169" s="2" t="s">
        <v>85</v>
      </c>
      <c r="G169" s="3" t="s">
        <v>25</v>
      </c>
      <c r="H169" s="5" t="s">
        <v>467</v>
      </c>
    </row>
    <row r="170" customFormat="false" ht="15" hidden="false" customHeight="false" outlineLevel="0" collapsed="false">
      <c r="A170" s="2" t="s">
        <v>468</v>
      </c>
      <c r="B170" s="3" t="n">
        <v>3</v>
      </c>
      <c r="C170" s="4" t="n">
        <v>119950</v>
      </c>
      <c r="D170" s="3" t="s">
        <v>329</v>
      </c>
      <c r="E170" s="3" t="s">
        <v>34</v>
      </c>
      <c r="F170" s="2" t="s">
        <v>59</v>
      </c>
      <c r="G170" s="3" t="s">
        <v>25</v>
      </c>
      <c r="H170" s="5" t="s">
        <v>469</v>
      </c>
    </row>
    <row r="171" customFormat="false" ht="15" hidden="false" customHeight="false" outlineLevel="0" collapsed="false">
      <c r="A171" s="2" t="s">
        <v>470</v>
      </c>
      <c r="B171" s="3" t="n">
        <v>3</v>
      </c>
      <c r="C171" s="4" t="n">
        <v>119950</v>
      </c>
      <c r="D171" s="3" t="s">
        <v>329</v>
      </c>
      <c r="E171" s="3" t="s">
        <v>68</v>
      </c>
      <c r="F171" s="2" t="s">
        <v>59</v>
      </c>
      <c r="G171" s="3" t="s">
        <v>17</v>
      </c>
      <c r="H171" s="5" t="s">
        <v>471</v>
      </c>
    </row>
    <row r="172" customFormat="false" ht="15" hidden="false" customHeight="false" outlineLevel="0" collapsed="false">
      <c r="A172" s="2" t="s">
        <v>472</v>
      </c>
      <c r="B172" s="3" t="n">
        <v>3</v>
      </c>
      <c r="C172" s="4" t="n">
        <v>124950</v>
      </c>
      <c r="D172" s="3" t="s">
        <v>329</v>
      </c>
      <c r="E172" s="3" t="s">
        <v>473</v>
      </c>
      <c r="F172" s="2" t="s">
        <v>59</v>
      </c>
      <c r="G172" s="3" t="s">
        <v>12</v>
      </c>
      <c r="H172" s="5" t="s">
        <v>474</v>
      </c>
    </row>
    <row r="173" customFormat="false" ht="15" hidden="false" customHeight="false" outlineLevel="0" collapsed="false">
      <c r="A173" s="2" t="s">
        <v>475</v>
      </c>
      <c r="B173" s="3" t="n">
        <v>3</v>
      </c>
      <c r="C173" s="4" t="n">
        <v>124950</v>
      </c>
      <c r="D173" s="3" t="s">
        <v>329</v>
      </c>
      <c r="E173" s="3" t="s">
        <v>156</v>
      </c>
      <c r="F173" s="2" t="s">
        <v>59</v>
      </c>
      <c r="G173" s="3" t="s">
        <v>21</v>
      </c>
      <c r="H173" s="5" t="s">
        <v>476</v>
      </c>
    </row>
    <row r="174" customFormat="false" ht="15" hidden="false" customHeight="false" outlineLevel="0" collapsed="false">
      <c r="A174" s="2" t="s">
        <v>477</v>
      </c>
      <c r="B174" s="3" t="n">
        <v>3</v>
      </c>
      <c r="C174" s="4" t="n">
        <v>125000</v>
      </c>
      <c r="D174" s="3" t="s">
        <v>329</v>
      </c>
      <c r="E174" s="3" t="s">
        <v>132</v>
      </c>
      <c r="F174" s="2" t="s">
        <v>59</v>
      </c>
      <c r="G174" s="3" t="s">
        <v>17</v>
      </c>
      <c r="H174" s="5" t="s">
        <v>478</v>
      </c>
    </row>
    <row r="175" customFormat="false" ht="15" hidden="false" customHeight="false" outlineLevel="0" collapsed="false">
      <c r="A175" s="2" t="s">
        <v>479</v>
      </c>
      <c r="B175" s="3" t="n">
        <v>3</v>
      </c>
      <c r="C175" s="4" t="n">
        <v>127500</v>
      </c>
      <c r="D175" s="3" t="s">
        <v>329</v>
      </c>
      <c r="E175" s="3" t="s">
        <v>480</v>
      </c>
      <c r="F175" s="2" t="s">
        <v>11</v>
      </c>
      <c r="G175" s="3" t="s">
        <v>17</v>
      </c>
      <c r="H175" s="5" t="s">
        <v>481</v>
      </c>
    </row>
    <row r="176" customFormat="false" ht="15" hidden="false" customHeight="false" outlineLevel="0" collapsed="false">
      <c r="A176" s="2" t="s">
        <v>482</v>
      </c>
      <c r="B176" s="3" t="n">
        <v>3</v>
      </c>
      <c r="C176" s="4" t="n">
        <v>127500</v>
      </c>
      <c r="D176" s="3" t="s">
        <v>329</v>
      </c>
      <c r="E176" s="3" t="s">
        <v>242</v>
      </c>
      <c r="F176" s="2" t="s">
        <v>11</v>
      </c>
      <c r="G176" s="3" t="s">
        <v>12</v>
      </c>
      <c r="H176" s="5" t="s">
        <v>483</v>
      </c>
    </row>
    <row r="177" customFormat="false" ht="15" hidden="false" customHeight="false" outlineLevel="0" collapsed="false">
      <c r="A177" s="2" t="s">
        <v>484</v>
      </c>
      <c r="B177" s="3" t="n">
        <v>3</v>
      </c>
      <c r="C177" s="4" t="n">
        <v>129950</v>
      </c>
      <c r="D177" s="3" t="s">
        <v>329</v>
      </c>
      <c r="E177" s="3" t="s">
        <v>485</v>
      </c>
      <c r="F177" s="2" t="s">
        <v>81</v>
      </c>
      <c r="G177" s="3" t="s">
        <v>12</v>
      </c>
      <c r="H177" s="5" t="s">
        <v>486</v>
      </c>
    </row>
    <row r="178" customFormat="false" ht="15" hidden="false" customHeight="false" outlineLevel="0" collapsed="false">
      <c r="A178" s="2" t="s">
        <v>487</v>
      </c>
      <c r="B178" s="3" t="n">
        <v>3</v>
      </c>
      <c r="C178" s="4" t="n">
        <v>129950</v>
      </c>
      <c r="D178" s="3" t="s">
        <v>329</v>
      </c>
      <c r="E178" s="3" t="s">
        <v>126</v>
      </c>
      <c r="F178" s="2" t="s">
        <v>59</v>
      </c>
      <c r="G178" s="3" t="s">
        <v>12</v>
      </c>
      <c r="H178" s="5" t="s">
        <v>488</v>
      </c>
    </row>
    <row r="179" customFormat="false" ht="15" hidden="false" customHeight="false" outlineLevel="0" collapsed="false">
      <c r="A179" s="2" t="s">
        <v>489</v>
      </c>
      <c r="B179" s="3" t="n">
        <v>3</v>
      </c>
      <c r="C179" s="4" t="n">
        <v>129950</v>
      </c>
      <c r="D179" s="3" t="s">
        <v>329</v>
      </c>
      <c r="E179" s="3" t="s">
        <v>234</v>
      </c>
      <c r="F179" s="2" t="s">
        <v>11</v>
      </c>
      <c r="G179" s="3" t="s">
        <v>12</v>
      </c>
      <c r="H179" s="5" t="s">
        <v>490</v>
      </c>
    </row>
    <row r="180" customFormat="false" ht="15" hidden="false" customHeight="false" outlineLevel="0" collapsed="false">
      <c r="A180" s="2" t="s">
        <v>491</v>
      </c>
      <c r="B180" s="3" t="n">
        <v>3</v>
      </c>
      <c r="C180" s="4" t="n">
        <v>129950</v>
      </c>
      <c r="D180" s="3" t="s">
        <v>329</v>
      </c>
      <c r="E180" s="3" t="s">
        <v>492</v>
      </c>
      <c r="F180" s="2" t="s">
        <v>11</v>
      </c>
      <c r="G180" s="3" t="s">
        <v>12</v>
      </c>
      <c r="H180" s="5" t="s">
        <v>493</v>
      </c>
    </row>
    <row r="181" customFormat="false" ht="15" hidden="false" customHeight="false" outlineLevel="0" collapsed="false">
      <c r="A181" s="2" t="s">
        <v>494</v>
      </c>
      <c r="B181" s="3" t="n">
        <v>3</v>
      </c>
      <c r="C181" s="4" t="n">
        <v>129950</v>
      </c>
      <c r="D181" s="3" t="s">
        <v>329</v>
      </c>
      <c r="E181" s="3" t="s">
        <v>495</v>
      </c>
      <c r="F181" s="2" t="s">
        <v>11</v>
      </c>
      <c r="G181" s="3" t="s">
        <v>12</v>
      </c>
      <c r="H181" s="5" t="s">
        <v>496</v>
      </c>
    </row>
    <row r="182" customFormat="false" ht="15" hidden="false" customHeight="false" outlineLevel="0" collapsed="false">
      <c r="A182" s="2" t="s">
        <v>497</v>
      </c>
      <c r="B182" s="3" t="n">
        <v>3</v>
      </c>
      <c r="C182" s="4" t="n">
        <v>129950</v>
      </c>
      <c r="D182" s="3" t="s">
        <v>329</v>
      </c>
      <c r="E182" s="3" t="s">
        <v>498</v>
      </c>
      <c r="F182" s="2" t="s">
        <v>59</v>
      </c>
      <c r="G182" s="3" t="s">
        <v>12</v>
      </c>
      <c r="H182" s="5" t="s">
        <v>499</v>
      </c>
    </row>
    <row r="183" customFormat="false" ht="15" hidden="false" customHeight="false" outlineLevel="0" collapsed="false">
      <c r="A183" s="2" t="s">
        <v>500</v>
      </c>
      <c r="B183" s="3" t="n">
        <v>3</v>
      </c>
      <c r="C183" s="4" t="n">
        <v>129950</v>
      </c>
      <c r="D183" s="3" t="s">
        <v>329</v>
      </c>
      <c r="E183" s="3" t="s">
        <v>88</v>
      </c>
      <c r="F183" s="2" t="s">
        <v>11</v>
      </c>
      <c r="G183" s="3" t="s">
        <v>17</v>
      </c>
      <c r="H183" s="5" t="s">
        <v>501</v>
      </c>
    </row>
    <row r="184" customFormat="false" ht="15" hidden="false" customHeight="false" outlineLevel="0" collapsed="false">
      <c r="A184" s="2" t="s">
        <v>502</v>
      </c>
      <c r="B184" s="3" t="n">
        <v>3</v>
      </c>
      <c r="C184" s="4" t="n">
        <v>130000</v>
      </c>
      <c r="D184" s="3" t="s">
        <v>329</v>
      </c>
      <c r="E184" s="3" t="s">
        <v>123</v>
      </c>
      <c r="F184" s="2" t="s">
        <v>81</v>
      </c>
      <c r="G184" s="3" t="s">
        <v>25</v>
      </c>
      <c r="H184" s="5" t="s">
        <v>503</v>
      </c>
    </row>
    <row r="185" customFormat="false" ht="15" hidden="false" customHeight="false" outlineLevel="0" collapsed="false">
      <c r="A185" s="2" t="s">
        <v>504</v>
      </c>
      <c r="B185" s="3" t="n">
        <v>3</v>
      </c>
      <c r="C185" s="4" t="n">
        <v>134950</v>
      </c>
      <c r="D185" s="3" t="s">
        <v>329</v>
      </c>
      <c r="E185" s="3" t="s">
        <v>505</v>
      </c>
      <c r="F185" s="2" t="s">
        <v>59</v>
      </c>
      <c r="G185" s="3" t="s">
        <v>12</v>
      </c>
      <c r="H185" s="5" t="s">
        <v>506</v>
      </c>
    </row>
    <row r="186" customFormat="false" ht="15" hidden="false" customHeight="false" outlineLevel="0" collapsed="false">
      <c r="A186" s="2" t="s">
        <v>507</v>
      </c>
      <c r="B186" s="3" t="n">
        <v>3</v>
      </c>
      <c r="C186" s="4" t="n">
        <v>134950</v>
      </c>
      <c r="D186" s="3" t="s">
        <v>329</v>
      </c>
      <c r="E186" s="3" t="s">
        <v>169</v>
      </c>
      <c r="F186" s="2" t="s">
        <v>59</v>
      </c>
      <c r="G186" s="3" t="s">
        <v>21</v>
      </c>
      <c r="H186" s="5" t="s">
        <v>508</v>
      </c>
    </row>
    <row r="187" customFormat="false" ht="15" hidden="false" customHeight="false" outlineLevel="0" collapsed="false">
      <c r="A187" s="2" t="s">
        <v>509</v>
      </c>
      <c r="B187" s="3" t="n">
        <v>3</v>
      </c>
      <c r="C187" s="4" t="n">
        <v>134950</v>
      </c>
      <c r="D187" s="3" t="s">
        <v>329</v>
      </c>
      <c r="E187" s="3" t="s">
        <v>123</v>
      </c>
      <c r="F187" s="2" t="s">
        <v>11</v>
      </c>
      <c r="G187" s="3" t="s">
        <v>17</v>
      </c>
      <c r="H187" s="5" t="s">
        <v>510</v>
      </c>
    </row>
    <row r="188" customFormat="false" ht="15" hidden="false" customHeight="false" outlineLevel="0" collapsed="false">
      <c r="A188" s="2" t="s">
        <v>511</v>
      </c>
      <c r="B188" s="3" t="n">
        <v>3</v>
      </c>
      <c r="C188" s="4" t="n">
        <v>134950</v>
      </c>
      <c r="D188" s="3" t="s">
        <v>329</v>
      </c>
      <c r="E188" s="3" t="s">
        <v>309</v>
      </c>
      <c r="F188" s="2" t="s">
        <v>81</v>
      </c>
      <c r="G188" s="3" t="s">
        <v>25</v>
      </c>
      <c r="H188" s="5" t="s">
        <v>512</v>
      </c>
    </row>
    <row r="189" customFormat="false" ht="15" hidden="false" customHeight="false" outlineLevel="0" collapsed="false">
      <c r="A189" s="2" t="s">
        <v>513</v>
      </c>
      <c r="B189" s="3" t="n">
        <v>3</v>
      </c>
      <c r="C189" s="4" t="n">
        <v>139950</v>
      </c>
      <c r="D189" s="3" t="s">
        <v>329</v>
      </c>
      <c r="E189" s="3" t="s">
        <v>68</v>
      </c>
      <c r="F189" s="2" t="s">
        <v>120</v>
      </c>
      <c r="G189" s="3" t="s">
        <v>21</v>
      </c>
      <c r="H189" s="5" t="s">
        <v>514</v>
      </c>
    </row>
    <row r="190" customFormat="false" ht="15" hidden="false" customHeight="false" outlineLevel="0" collapsed="false">
      <c r="A190" s="2" t="s">
        <v>515</v>
      </c>
      <c r="B190" s="3" t="n">
        <v>3</v>
      </c>
      <c r="C190" s="4" t="n">
        <v>139950</v>
      </c>
      <c r="D190" s="3" t="s">
        <v>329</v>
      </c>
      <c r="E190" s="3" t="s">
        <v>516</v>
      </c>
      <c r="F190" s="2" t="s">
        <v>59</v>
      </c>
      <c r="G190" s="3" t="s">
        <v>12</v>
      </c>
      <c r="H190" s="5" t="s">
        <v>517</v>
      </c>
    </row>
    <row r="191" customFormat="false" ht="15" hidden="false" customHeight="false" outlineLevel="0" collapsed="false">
      <c r="A191" s="2" t="s">
        <v>518</v>
      </c>
      <c r="B191" s="3" t="n">
        <v>3</v>
      </c>
      <c r="C191" s="4" t="n">
        <v>139950</v>
      </c>
      <c r="D191" s="3" t="s">
        <v>329</v>
      </c>
      <c r="E191" s="3" t="s">
        <v>287</v>
      </c>
      <c r="F191" s="2" t="s">
        <v>59</v>
      </c>
      <c r="G191" s="3" t="s">
        <v>12</v>
      </c>
      <c r="H191" s="5" t="s">
        <v>519</v>
      </c>
    </row>
    <row r="192" customFormat="false" ht="15" hidden="false" customHeight="false" outlineLevel="0" collapsed="false">
      <c r="A192" s="2" t="s">
        <v>520</v>
      </c>
      <c r="B192" s="3" t="n">
        <v>3</v>
      </c>
      <c r="C192" s="4" t="n">
        <v>144950</v>
      </c>
      <c r="D192" s="3" t="s">
        <v>329</v>
      </c>
      <c r="E192" s="3" t="s">
        <v>34</v>
      </c>
      <c r="F192" s="2" t="s">
        <v>81</v>
      </c>
      <c r="G192" s="3" t="s">
        <v>12</v>
      </c>
      <c r="H192" s="5" t="s">
        <v>521</v>
      </c>
    </row>
    <row r="193" customFormat="false" ht="15" hidden="false" customHeight="false" outlineLevel="0" collapsed="false">
      <c r="A193" s="2" t="s">
        <v>522</v>
      </c>
      <c r="B193" s="3" t="n">
        <v>3</v>
      </c>
      <c r="C193" s="4" t="n">
        <v>144950</v>
      </c>
      <c r="D193" s="3" t="s">
        <v>329</v>
      </c>
      <c r="E193" s="3" t="s">
        <v>68</v>
      </c>
      <c r="F193" s="2" t="s">
        <v>11</v>
      </c>
      <c r="G193" s="3" t="s">
        <v>25</v>
      </c>
      <c r="H193" s="5" t="s">
        <v>523</v>
      </c>
    </row>
    <row r="194" customFormat="false" ht="15" hidden="false" customHeight="false" outlineLevel="0" collapsed="false">
      <c r="A194" s="2" t="s">
        <v>524</v>
      </c>
      <c r="B194" s="3" t="n">
        <v>3</v>
      </c>
      <c r="C194" s="4" t="n">
        <v>144950</v>
      </c>
      <c r="D194" s="3" t="s">
        <v>329</v>
      </c>
      <c r="E194" s="3" t="s">
        <v>450</v>
      </c>
      <c r="F194" s="2" t="s">
        <v>120</v>
      </c>
      <c r="G194" s="3" t="s">
        <v>21</v>
      </c>
      <c r="H194" s="5" t="s">
        <v>525</v>
      </c>
    </row>
    <row r="195" customFormat="false" ht="15" hidden="false" customHeight="false" outlineLevel="0" collapsed="false">
      <c r="A195" s="2" t="s">
        <v>526</v>
      </c>
      <c r="B195" s="3" t="n">
        <v>3</v>
      </c>
      <c r="C195" s="4" t="n">
        <v>149950</v>
      </c>
      <c r="D195" s="3" t="s">
        <v>329</v>
      </c>
      <c r="E195" s="3" t="s">
        <v>24</v>
      </c>
      <c r="F195" s="2" t="s">
        <v>59</v>
      </c>
      <c r="G195" s="3" t="s">
        <v>12</v>
      </c>
      <c r="H195" s="5" t="s">
        <v>527</v>
      </c>
    </row>
    <row r="196" customFormat="false" ht="15" hidden="false" customHeight="false" outlineLevel="0" collapsed="false">
      <c r="A196" s="2" t="s">
        <v>528</v>
      </c>
      <c r="B196" s="3" t="n">
        <v>3</v>
      </c>
      <c r="C196" s="4" t="n">
        <v>149950</v>
      </c>
      <c r="D196" s="3" t="s">
        <v>329</v>
      </c>
      <c r="E196" s="3" t="s">
        <v>242</v>
      </c>
      <c r="F196" s="2" t="s">
        <v>81</v>
      </c>
      <c r="G196" s="3" t="s">
        <v>17</v>
      </c>
      <c r="H196" s="5" t="s">
        <v>529</v>
      </c>
    </row>
    <row r="197" customFormat="false" ht="15" hidden="false" customHeight="false" outlineLevel="0" collapsed="false">
      <c r="A197" s="2" t="s">
        <v>530</v>
      </c>
      <c r="B197" s="3" t="n">
        <v>3</v>
      </c>
      <c r="C197" s="4" t="n">
        <v>149950</v>
      </c>
      <c r="D197" s="3" t="s">
        <v>329</v>
      </c>
      <c r="E197" s="3" t="s">
        <v>135</v>
      </c>
      <c r="F197" s="2" t="s">
        <v>81</v>
      </c>
      <c r="G197" s="3" t="s">
        <v>17</v>
      </c>
      <c r="H197" s="5" t="s">
        <v>531</v>
      </c>
    </row>
    <row r="198" customFormat="false" ht="15" hidden="false" customHeight="false" outlineLevel="0" collapsed="false">
      <c r="A198" s="2" t="s">
        <v>532</v>
      </c>
      <c r="B198" s="3" t="n">
        <v>3</v>
      </c>
      <c r="C198" s="4" t="n">
        <v>149950</v>
      </c>
      <c r="D198" s="3" t="s">
        <v>329</v>
      </c>
      <c r="E198" s="3" t="s">
        <v>231</v>
      </c>
      <c r="F198" s="2" t="s">
        <v>11</v>
      </c>
      <c r="G198" s="3" t="s">
        <v>17</v>
      </c>
      <c r="H198" s="5" t="s">
        <v>533</v>
      </c>
    </row>
    <row r="199" customFormat="false" ht="15" hidden="false" customHeight="false" outlineLevel="0" collapsed="false">
      <c r="A199" s="2" t="s">
        <v>534</v>
      </c>
      <c r="B199" s="3" t="n">
        <v>3</v>
      </c>
      <c r="C199" s="4" t="n">
        <v>149950</v>
      </c>
      <c r="D199" s="3" t="s">
        <v>329</v>
      </c>
      <c r="E199" s="3" t="s">
        <v>450</v>
      </c>
      <c r="F199" s="2" t="s">
        <v>81</v>
      </c>
      <c r="G199" s="3" t="s">
        <v>17</v>
      </c>
      <c r="H199" s="5" t="s">
        <v>535</v>
      </c>
    </row>
    <row r="200" customFormat="false" ht="15" hidden="false" customHeight="false" outlineLevel="0" collapsed="false">
      <c r="A200" s="2" t="s">
        <v>536</v>
      </c>
      <c r="B200" s="3" t="n">
        <v>3</v>
      </c>
      <c r="C200" s="4" t="n">
        <v>149950</v>
      </c>
      <c r="D200" s="3" t="s">
        <v>329</v>
      </c>
      <c r="E200" s="3" t="s">
        <v>537</v>
      </c>
      <c r="F200" s="2" t="s">
        <v>59</v>
      </c>
      <c r="G200" s="3" t="s">
        <v>12</v>
      </c>
      <c r="H200" s="5" t="s">
        <v>538</v>
      </c>
    </row>
    <row r="201" customFormat="false" ht="15" hidden="false" customHeight="false" outlineLevel="0" collapsed="false">
      <c r="A201" s="2" t="s">
        <v>539</v>
      </c>
      <c r="B201" s="3" t="n">
        <v>3</v>
      </c>
      <c r="C201" s="4" t="n">
        <v>149950</v>
      </c>
      <c r="D201" s="3" t="s">
        <v>329</v>
      </c>
      <c r="E201" s="3" t="s">
        <v>302</v>
      </c>
      <c r="F201" s="2" t="s">
        <v>11</v>
      </c>
      <c r="G201" s="3" t="s">
        <v>17</v>
      </c>
      <c r="H201" s="5" t="s">
        <v>540</v>
      </c>
    </row>
    <row r="202" customFormat="false" ht="15" hidden="false" customHeight="false" outlineLevel="0" collapsed="false">
      <c r="A202" s="2" t="s">
        <v>541</v>
      </c>
      <c r="B202" s="3" t="n">
        <v>3</v>
      </c>
      <c r="C202" s="4" t="n">
        <v>154950</v>
      </c>
      <c r="D202" s="3" t="s">
        <v>329</v>
      </c>
      <c r="E202" s="3" t="s">
        <v>542</v>
      </c>
      <c r="F202" s="2" t="s">
        <v>11</v>
      </c>
      <c r="G202" s="3" t="s">
        <v>17</v>
      </c>
      <c r="H202" s="5" t="s">
        <v>543</v>
      </c>
    </row>
    <row r="203" customFormat="false" ht="15" hidden="false" customHeight="false" outlineLevel="0" collapsed="false">
      <c r="A203" s="2" t="s">
        <v>544</v>
      </c>
      <c r="B203" s="3" t="n">
        <v>3</v>
      </c>
      <c r="C203" s="4" t="n">
        <v>159950</v>
      </c>
      <c r="D203" s="3" t="s">
        <v>329</v>
      </c>
      <c r="E203" s="3" t="s">
        <v>545</v>
      </c>
      <c r="F203" s="2" t="s">
        <v>11</v>
      </c>
      <c r="G203" s="3" t="s">
        <v>25</v>
      </c>
      <c r="H203" s="5" t="s">
        <v>546</v>
      </c>
    </row>
    <row r="204" customFormat="false" ht="15" hidden="false" customHeight="false" outlineLevel="0" collapsed="false">
      <c r="A204" s="2" t="s">
        <v>547</v>
      </c>
      <c r="B204" s="3" t="n">
        <v>3</v>
      </c>
      <c r="C204" s="4" t="n">
        <v>159950</v>
      </c>
      <c r="D204" s="3" t="s">
        <v>329</v>
      </c>
      <c r="E204" s="3" t="s">
        <v>485</v>
      </c>
      <c r="F204" s="2" t="s">
        <v>85</v>
      </c>
      <c r="G204" s="3" t="s">
        <v>12</v>
      </c>
      <c r="H204" s="5" t="s">
        <v>548</v>
      </c>
    </row>
    <row r="205" customFormat="false" ht="15" hidden="false" customHeight="false" outlineLevel="0" collapsed="false">
      <c r="A205" s="2" t="s">
        <v>549</v>
      </c>
      <c r="B205" s="3" t="n">
        <v>3</v>
      </c>
      <c r="C205" s="4" t="n">
        <v>160000</v>
      </c>
      <c r="D205" s="3" t="s">
        <v>329</v>
      </c>
      <c r="E205" s="3" t="s">
        <v>156</v>
      </c>
      <c r="F205" s="2" t="s">
        <v>59</v>
      </c>
      <c r="G205" s="3" t="s">
        <v>25</v>
      </c>
      <c r="H205" s="5" t="s">
        <v>550</v>
      </c>
    </row>
    <row r="206" customFormat="false" ht="15" hidden="false" customHeight="false" outlineLevel="0" collapsed="false">
      <c r="A206" s="2" t="s">
        <v>551</v>
      </c>
      <c r="B206" s="3" t="n">
        <v>3</v>
      </c>
      <c r="C206" s="4" t="n">
        <v>164950</v>
      </c>
      <c r="D206" s="3" t="s">
        <v>329</v>
      </c>
      <c r="E206" s="3" t="s">
        <v>552</v>
      </c>
      <c r="F206" s="2" t="s">
        <v>81</v>
      </c>
      <c r="G206" s="3" t="s">
        <v>12</v>
      </c>
      <c r="H206" s="5" t="s">
        <v>553</v>
      </c>
    </row>
    <row r="207" customFormat="false" ht="15" hidden="false" customHeight="false" outlineLevel="0" collapsed="false">
      <c r="A207" s="2" t="s">
        <v>554</v>
      </c>
      <c r="B207" s="3" t="n">
        <v>3</v>
      </c>
      <c r="C207" s="4" t="n">
        <v>164950</v>
      </c>
      <c r="D207" s="3" t="s">
        <v>329</v>
      </c>
      <c r="E207" s="3" t="s">
        <v>206</v>
      </c>
      <c r="F207" s="2" t="s">
        <v>81</v>
      </c>
      <c r="G207" s="3" t="s">
        <v>25</v>
      </c>
      <c r="H207" s="5" t="s">
        <v>555</v>
      </c>
    </row>
    <row r="208" customFormat="false" ht="15" hidden="false" customHeight="false" outlineLevel="0" collapsed="false">
      <c r="A208" s="2" t="s">
        <v>556</v>
      </c>
      <c r="B208" s="3" t="n">
        <v>3</v>
      </c>
      <c r="C208" s="4" t="n">
        <v>169950</v>
      </c>
      <c r="D208" s="3" t="s">
        <v>329</v>
      </c>
      <c r="E208" s="3" t="s">
        <v>320</v>
      </c>
      <c r="F208" s="2" t="s">
        <v>59</v>
      </c>
      <c r="G208" s="3" t="s">
        <v>17</v>
      </c>
      <c r="H208" s="5" t="s">
        <v>557</v>
      </c>
    </row>
    <row r="209" customFormat="false" ht="15" hidden="false" customHeight="false" outlineLevel="0" collapsed="false">
      <c r="A209" s="2" t="s">
        <v>558</v>
      </c>
      <c r="B209" s="3" t="n">
        <v>3</v>
      </c>
      <c r="C209" s="4" t="n">
        <v>169950</v>
      </c>
      <c r="D209" s="3" t="s">
        <v>329</v>
      </c>
      <c r="E209" s="3" t="s">
        <v>31</v>
      </c>
      <c r="F209" s="2" t="s">
        <v>59</v>
      </c>
      <c r="G209" s="3" t="s">
        <v>12</v>
      </c>
      <c r="H209" s="5" t="s">
        <v>559</v>
      </c>
    </row>
    <row r="210" customFormat="false" ht="15" hidden="false" customHeight="false" outlineLevel="0" collapsed="false">
      <c r="A210" s="2" t="s">
        <v>560</v>
      </c>
      <c r="B210" s="3" t="n">
        <v>3</v>
      </c>
      <c r="C210" s="4" t="n">
        <v>169950</v>
      </c>
      <c r="D210" s="3" t="s">
        <v>329</v>
      </c>
      <c r="E210" s="3" t="s">
        <v>24</v>
      </c>
      <c r="F210" s="2" t="s">
        <v>85</v>
      </c>
      <c r="G210" s="3" t="s">
        <v>12</v>
      </c>
      <c r="H210" s="5" t="s">
        <v>561</v>
      </c>
    </row>
    <row r="211" customFormat="false" ht="15" hidden="false" customHeight="false" outlineLevel="0" collapsed="false">
      <c r="A211" s="2" t="s">
        <v>562</v>
      </c>
      <c r="B211" s="3" t="n">
        <v>3</v>
      </c>
      <c r="C211" s="4" t="n">
        <v>172500</v>
      </c>
      <c r="D211" s="3" t="s">
        <v>329</v>
      </c>
      <c r="E211" s="3" t="s">
        <v>215</v>
      </c>
      <c r="F211" s="2" t="s">
        <v>11</v>
      </c>
      <c r="G211" s="3" t="s">
        <v>17</v>
      </c>
      <c r="H211" s="5" t="s">
        <v>563</v>
      </c>
    </row>
    <row r="212" customFormat="false" ht="15" hidden="false" customHeight="false" outlineLevel="0" collapsed="false">
      <c r="A212" s="2" t="s">
        <v>564</v>
      </c>
      <c r="B212" s="3" t="n">
        <v>3</v>
      </c>
      <c r="C212" s="4" t="n">
        <v>179950</v>
      </c>
      <c r="D212" s="3" t="s">
        <v>329</v>
      </c>
      <c r="E212" s="3" t="s">
        <v>249</v>
      </c>
      <c r="F212" s="2" t="s">
        <v>85</v>
      </c>
      <c r="G212" s="3" t="s">
        <v>17</v>
      </c>
      <c r="H212" s="5" t="s">
        <v>565</v>
      </c>
    </row>
    <row r="213" customFormat="false" ht="15" hidden="false" customHeight="false" outlineLevel="0" collapsed="false">
      <c r="A213" s="2" t="s">
        <v>566</v>
      </c>
      <c r="B213" s="3" t="n">
        <v>3</v>
      </c>
      <c r="C213" s="4" t="n">
        <v>180000</v>
      </c>
      <c r="D213" s="3" t="s">
        <v>329</v>
      </c>
      <c r="E213" s="3" t="s">
        <v>135</v>
      </c>
      <c r="F213" s="2" t="s">
        <v>567</v>
      </c>
      <c r="G213" s="3" t="s">
        <v>17</v>
      </c>
      <c r="H213" s="5" t="s">
        <v>568</v>
      </c>
    </row>
    <row r="214" customFormat="false" ht="15" hidden="false" customHeight="false" outlineLevel="0" collapsed="false">
      <c r="A214" s="2" t="s">
        <v>569</v>
      </c>
      <c r="B214" s="3" t="n">
        <v>3</v>
      </c>
      <c r="C214" s="4" t="n">
        <v>189950</v>
      </c>
      <c r="D214" s="3" t="s">
        <v>329</v>
      </c>
      <c r="E214" s="3" t="s">
        <v>570</v>
      </c>
      <c r="F214" s="2" t="s">
        <v>81</v>
      </c>
      <c r="G214" s="3" t="s">
        <v>12</v>
      </c>
      <c r="H214" s="5" t="s">
        <v>571</v>
      </c>
    </row>
    <row r="215" customFormat="false" ht="15" hidden="false" customHeight="false" outlineLevel="0" collapsed="false">
      <c r="A215" s="2" t="s">
        <v>572</v>
      </c>
      <c r="B215" s="3" t="n">
        <v>3</v>
      </c>
      <c r="C215" s="4" t="n">
        <v>189950</v>
      </c>
      <c r="D215" s="3" t="s">
        <v>329</v>
      </c>
      <c r="E215" s="3" t="s">
        <v>40</v>
      </c>
      <c r="F215" s="2" t="s">
        <v>85</v>
      </c>
      <c r="G215" s="3" t="s">
        <v>12</v>
      </c>
      <c r="H215" s="5" t="s">
        <v>573</v>
      </c>
    </row>
    <row r="216" customFormat="false" ht="15" hidden="false" customHeight="false" outlineLevel="0" collapsed="false">
      <c r="A216" s="2" t="s">
        <v>574</v>
      </c>
      <c r="B216" s="3" t="n">
        <v>3</v>
      </c>
      <c r="C216" s="4" t="n">
        <v>189950</v>
      </c>
      <c r="D216" s="3" t="s">
        <v>329</v>
      </c>
      <c r="E216" s="3" t="s">
        <v>237</v>
      </c>
      <c r="F216" s="2" t="s">
        <v>85</v>
      </c>
      <c r="G216" s="3" t="s">
        <v>17</v>
      </c>
      <c r="H216" s="5" t="s">
        <v>575</v>
      </c>
    </row>
    <row r="217" customFormat="false" ht="15" hidden="false" customHeight="false" outlineLevel="0" collapsed="false">
      <c r="A217" s="2" t="s">
        <v>576</v>
      </c>
      <c r="B217" s="3" t="n">
        <v>3</v>
      </c>
      <c r="C217" s="4" t="n">
        <v>192500</v>
      </c>
      <c r="D217" s="3" t="s">
        <v>329</v>
      </c>
      <c r="E217" s="3" t="s">
        <v>577</v>
      </c>
      <c r="F217" s="2" t="s">
        <v>120</v>
      </c>
      <c r="G217" s="3" t="s">
        <v>21</v>
      </c>
      <c r="H217" s="5" t="s">
        <v>578</v>
      </c>
    </row>
    <row r="218" customFormat="false" ht="15" hidden="false" customHeight="false" outlineLevel="0" collapsed="false">
      <c r="A218" s="2" t="s">
        <v>579</v>
      </c>
      <c r="B218" s="3" t="n">
        <v>3</v>
      </c>
      <c r="C218" s="4" t="n">
        <v>220000</v>
      </c>
      <c r="D218" s="3" t="s">
        <v>329</v>
      </c>
      <c r="E218" s="3" t="s">
        <v>24</v>
      </c>
      <c r="F218" s="2" t="s">
        <v>321</v>
      </c>
      <c r="G218" s="3" t="s">
        <v>17</v>
      </c>
      <c r="H218" s="5" t="s">
        <v>580</v>
      </c>
    </row>
    <row r="219" customFormat="false" ht="15" hidden="false" customHeight="false" outlineLevel="0" collapsed="false">
      <c r="A219" s="2" t="s">
        <v>581</v>
      </c>
      <c r="B219" s="3" t="n">
        <v>3</v>
      </c>
      <c r="C219" s="4" t="n">
        <v>229950</v>
      </c>
      <c r="D219" s="3" t="s">
        <v>329</v>
      </c>
      <c r="E219" s="3" t="s">
        <v>582</v>
      </c>
      <c r="F219" s="2" t="s">
        <v>120</v>
      </c>
      <c r="G219" s="3" t="s">
        <v>17</v>
      </c>
      <c r="H219" s="5" t="s">
        <v>583</v>
      </c>
    </row>
    <row r="220" customFormat="false" ht="15" hidden="false" customHeight="false" outlineLevel="0" collapsed="false">
      <c r="A220" s="2" t="s">
        <v>584</v>
      </c>
      <c r="B220" s="3" t="n">
        <v>3</v>
      </c>
      <c r="C220" s="4" t="n">
        <v>230000</v>
      </c>
      <c r="D220" s="3" t="s">
        <v>329</v>
      </c>
      <c r="E220" s="3" t="s">
        <v>337</v>
      </c>
      <c r="F220" s="2" t="s">
        <v>120</v>
      </c>
      <c r="G220" s="3" t="s">
        <v>12</v>
      </c>
      <c r="H220" s="5" t="s">
        <v>585</v>
      </c>
    </row>
    <row r="221" customFormat="false" ht="15" hidden="false" customHeight="false" outlineLevel="0" collapsed="false">
      <c r="A221" s="2" t="s">
        <v>586</v>
      </c>
      <c r="B221" s="3" t="n">
        <v>3</v>
      </c>
      <c r="C221" s="4" t="n">
        <v>249950</v>
      </c>
      <c r="D221" s="3" t="s">
        <v>329</v>
      </c>
      <c r="E221" s="3" t="s">
        <v>361</v>
      </c>
      <c r="F221" s="2" t="s">
        <v>120</v>
      </c>
      <c r="G221" s="3" t="s">
        <v>12</v>
      </c>
      <c r="H221" s="5" t="s">
        <v>587</v>
      </c>
    </row>
    <row r="222" customFormat="false" ht="15" hidden="false" customHeight="false" outlineLevel="0" collapsed="false">
      <c r="A222" s="2" t="s">
        <v>588</v>
      </c>
      <c r="B222" s="3" t="n">
        <v>4</v>
      </c>
      <c r="C222" s="4" t="n">
        <v>119950</v>
      </c>
      <c r="D222" s="3" t="s">
        <v>329</v>
      </c>
      <c r="E222" s="3" t="s">
        <v>34</v>
      </c>
      <c r="F222" s="2" t="s">
        <v>11</v>
      </c>
      <c r="G222" s="3" t="s">
        <v>25</v>
      </c>
      <c r="H222" s="5" t="s">
        <v>589</v>
      </c>
    </row>
    <row r="223" customFormat="false" ht="15" hidden="false" customHeight="false" outlineLevel="0" collapsed="false">
      <c r="A223" s="2" t="s">
        <v>590</v>
      </c>
      <c r="B223" s="3" t="n">
        <v>4</v>
      </c>
      <c r="C223" s="4" t="n">
        <v>130000</v>
      </c>
      <c r="D223" s="3" t="s">
        <v>329</v>
      </c>
      <c r="E223" s="3" t="s">
        <v>342</v>
      </c>
      <c r="F223" s="2" t="s">
        <v>81</v>
      </c>
      <c r="G223" s="3" t="s">
        <v>343</v>
      </c>
      <c r="H223" s="5" t="s">
        <v>591</v>
      </c>
    </row>
    <row r="224" customFormat="false" ht="15" hidden="false" customHeight="false" outlineLevel="0" collapsed="false">
      <c r="A224" s="2" t="s">
        <v>592</v>
      </c>
      <c r="B224" s="3" t="n">
        <v>4</v>
      </c>
      <c r="C224" s="4" t="n">
        <v>135000</v>
      </c>
      <c r="D224" s="3" t="s">
        <v>329</v>
      </c>
      <c r="E224" s="3" t="s">
        <v>106</v>
      </c>
      <c r="F224" s="2" t="s">
        <v>59</v>
      </c>
      <c r="G224" s="3" t="s">
        <v>12</v>
      </c>
      <c r="H224" s="5" t="s">
        <v>593</v>
      </c>
    </row>
    <row r="225" customFormat="false" ht="15" hidden="false" customHeight="false" outlineLevel="0" collapsed="false">
      <c r="A225" s="2" t="s">
        <v>594</v>
      </c>
      <c r="B225" s="3" t="n">
        <v>4</v>
      </c>
      <c r="C225" s="4" t="n">
        <v>139950</v>
      </c>
      <c r="D225" s="3" t="s">
        <v>329</v>
      </c>
      <c r="E225" s="3" t="s">
        <v>595</v>
      </c>
      <c r="F225" s="2" t="s">
        <v>11</v>
      </c>
      <c r="G225" s="3" t="s">
        <v>17</v>
      </c>
      <c r="H225" s="5" t="s">
        <v>596</v>
      </c>
    </row>
    <row r="226" customFormat="false" ht="15" hidden="false" customHeight="false" outlineLevel="0" collapsed="false">
      <c r="A226" s="2" t="s">
        <v>597</v>
      </c>
      <c r="B226" s="3" t="n">
        <v>4</v>
      </c>
      <c r="C226" s="4" t="n">
        <v>149950</v>
      </c>
      <c r="D226" s="3" t="s">
        <v>329</v>
      </c>
      <c r="E226" s="3" t="s">
        <v>135</v>
      </c>
      <c r="F226" s="2" t="s">
        <v>59</v>
      </c>
      <c r="G226" s="3" t="s">
        <v>12</v>
      </c>
      <c r="H226" s="5" t="s">
        <v>598</v>
      </c>
    </row>
    <row r="227" customFormat="false" ht="15" hidden="false" customHeight="false" outlineLevel="0" collapsed="false">
      <c r="A227" s="2" t="s">
        <v>599</v>
      </c>
      <c r="B227" s="3" t="n">
        <v>4</v>
      </c>
      <c r="C227" s="4" t="n">
        <v>149950</v>
      </c>
      <c r="D227" s="3" t="s">
        <v>329</v>
      </c>
      <c r="E227" s="3" t="s">
        <v>600</v>
      </c>
      <c r="F227" s="2" t="s">
        <v>11</v>
      </c>
      <c r="G227" s="3" t="s">
        <v>12</v>
      </c>
      <c r="H227" s="5" t="s">
        <v>601</v>
      </c>
    </row>
    <row r="228" customFormat="false" ht="15" hidden="false" customHeight="false" outlineLevel="0" collapsed="false">
      <c r="A228" s="2" t="s">
        <v>602</v>
      </c>
      <c r="B228" s="3" t="n">
        <v>4</v>
      </c>
      <c r="C228" s="4" t="n">
        <v>149950</v>
      </c>
      <c r="D228" s="3" t="s">
        <v>329</v>
      </c>
      <c r="E228" s="3" t="s">
        <v>206</v>
      </c>
      <c r="F228" s="2" t="s">
        <v>11</v>
      </c>
      <c r="G228" s="3" t="s">
        <v>12</v>
      </c>
      <c r="H228" s="5" t="s">
        <v>603</v>
      </c>
    </row>
    <row r="229" customFormat="false" ht="15" hidden="false" customHeight="false" outlineLevel="0" collapsed="false">
      <c r="A229" s="2" t="s">
        <v>604</v>
      </c>
      <c r="B229" s="3" t="n">
        <v>4</v>
      </c>
      <c r="C229" s="4" t="n">
        <v>150000</v>
      </c>
      <c r="D229" s="3" t="s">
        <v>329</v>
      </c>
      <c r="E229" s="3" t="s">
        <v>166</v>
      </c>
      <c r="F229" s="2" t="s">
        <v>59</v>
      </c>
      <c r="G229" s="3" t="s">
        <v>343</v>
      </c>
      <c r="H229" s="5" t="s">
        <v>605</v>
      </c>
    </row>
    <row r="230" customFormat="false" ht="15" hidden="false" customHeight="false" outlineLevel="0" collapsed="false">
      <c r="A230" s="2" t="s">
        <v>606</v>
      </c>
      <c r="B230" s="3" t="n">
        <v>4</v>
      </c>
      <c r="C230" s="4" t="n">
        <v>164950</v>
      </c>
      <c r="D230" s="3" t="s">
        <v>329</v>
      </c>
      <c r="E230" s="3" t="s">
        <v>31</v>
      </c>
      <c r="F230" s="2" t="s">
        <v>81</v>
      </c>
      <c r="G230" s="3" t="s">
        <v>12</v>
      </c>
      <c r="H230" s="5" t="s">
        <v>607</v>
      </c>
    </row>
    <row r="231" customFormat="false" ht="15" hidden="false" customHeight="false" outlineLevel="0" collapsed="false">
      <c r="A231" s="2" t="s">
        <v>608</v>
      </c>
      <c r="B231" s="3" t="n">
        <v>4</v>
      </c>
      <c r="C231" s="4" t="n">
        <v>174950</v>
      </c>
      <c r="D231" s="3" t="s">
        <v>329</v>
      </c>
      <c r="E231" s="3" t="s">
        <v>132</v>
      </c>
      <c r="F231" s="2" t="s">
        <v>11</v>
      </c>
      <c r="G231" s="3" t="s">
        <v>12</v>
      </c>
      <c r="H231" s="5" t="s">
        <v>609</v>
      </c>
    </row>
  </sheetData>
  <autoFilter ref="A1:H231"/>
  <hyperlinks>
    <hyperlink ref="H2" r:id="rId1" display="https://www.propertypal.com/1093809"/>
    <hyperlink ref="H3" r:id="rId2" display="https://www.propertypal.com/1069515"/>
    <hyperlink ref="H4" r:id="rId3" display="https://www.propertypal.com/1078354"/>
    <hyperlink ref="H5" r:id="rId4" display="https://www.propertypal.com/1113337"/>
    <hyperlink ref="H6" r:id="rId5" display="https://www.propertypal.com/1015619"/>
    <hyperlink ref="H7" r:id="rId6" display="https://www.propertypal.com/1090001"/>
    <hyperlink ref="H8" r:id="rId7" display="https://www.propertypal.com/1099635"/>
    <hyperlink ref="H9" r:id="rId8" display="https://www.propertypal.com/1120458"/>
    <hyperlink ref="H10" r:id="rId9" display="https://www.propertypal.com/1075460"/>
    <hyperlink ref="H11" r:id="rId10" display="https://www.propertypal.com/1049113"/>
    <hyperlink ref="H12" r:id="rId11" display="https://www.propertypal.com/1066516"/>
    <hyperlink ref="H13" r:id="rId12" display="https://www.propertypal.com/1068953"/>
    <hyperlink ref="H14" r:id="rId13" display="https://www.propertypal.com/1100227"/>
    <hyperlink ref="H15" r:id="rId14" display="https://www.propertypal.com/1059170"/>
    <hyperlink ref="H16" r:id="rId15" display="https://www.propertypal.com/1068798"/>
    <hyperlink ref="H17" r:id="rId16" display="https://www.propertypal.com/1098384"/>
    <hyperlink ref="H18" r:id="rId17" display="https://www.propertypal.com/1095403"/>
    <hyperlink ref="H19" r:id="rId18" display="https://www.propertypal.com/1097968"/>
    <hyperlink ref="H20" r:id="rId19" display="https://www.propertypal.com/1072559"/>
    <hyperlink ref="H21" r:id="rId20" display="https://www.propertypal.com/1066411"/>
    <hyperlink ref="H22" r:id="rId21" display="https://www.propertypal.com/1041323"/>
    <hyperlink ref="H23" r:id="rId22" display="https://www.propertypal.com/1076123"/>
    <hyperlink ref="H24" r:id="rId23" display="https://www.propertypal.com/1057940"/>
    <hyperlink ref="H25" r:id="rId24" display="https://www.propertypal.com/1098758"/>
    <hyperlink ref="H26" r:id="rId25" display="https://www.propertypal.com/1100859"/>
    <hyperlink ref="H27" r:id="rId26" display="https://www.propertypal.com/1054461"/>
    <hyperlink ref="H28" r:id="rId27" display="https://www.propertypal.com/1088026"/>
    <hyperlink ref="H29" r:id="rId28" display="https://www.propertypal.com/1097931"/>
    <hyperlink ref="H30" r:id="rId29" display="https://www.propertypal.com/1085450"/>
    <hyperlink ref="H31" r:id="rId30" display="https://www.propertypal.com/1099308"/>
    <hyperlink ref="H32" r:id="rId31" display="https://www.propertypal.com/1068073"/>
    <hyperlink ref="H33" r:id="rId32" display="https://www.propertypal.com/1110515"/>
    <hyperlink ref="H34" r:id="rId33" display="https://www.propertypal.com/1077179"/>
    <hyperlink ref="H35" r:id="rId34" display="https://www.propertypal.com/1047930"/>
    <hyperlink ref="H36" r:id="rId35" display="https://www.propertypal.com/1083460"/>
    <hyperlink ref="H37" r:id="rId36" display="https://www.propertypal.com/1089851"/>
    <hyperlink ref="H38" r:id="rId37" display="https://www.propertypal.com/1124863"/>
    <hyperlink ref="H39" r:id="rId38" display="https://www.propertypal.com/1084861"/>
    <hyperlink ref="H40" r:id="rId39" display="https://www.propertypal.com/1091042"/>
    <hyperlink ref="H41" r:id="rId40" display="https://www.propertypal.com/1080995"/>
    <hyperlink ref="H42" r:id="rId41" display="https://www.propertypal.com/1078793"/>
    <hyperlink ref="H43" r:id="rId42" display="https://www.propertypal.com/1064691"/>
    <hyperlink ref="H44" r:id="rId43" display="https://www.propertypal.com/1091177"/>
    <hyperlink ref="H45" r:id="rId44" display="https://www.propertypal.com/1106276"/>
    <hyperlink ref="H46" r:id="rId45" display="https://www.propertypal.com/1085236"/>
    <hyperlink ref="H47" r:id="rId46" display="https://www.propertypal.com/1012572"/>
    <hyperlink ref="H48" r:id="rId47" display="https://www.propertypal.com/1121813"/>
    <hyperlink ref="H49" r:id="rId48" display="https://www.propertypal.com/1080539"/>
    <hyperlink ref="H50" r:id="rId49" display="https://www.propertypal.com/1075652"/>
    <hyperlink ref="H51" r:id="rId50" display="https://www.propertypal.com/1070005"/>
    <hyperlink ref="H52" r:id="rId51" display="https://www.propertypal.com/1088489"/>
    <hyperlink ref="H53" r:id="rId52" display="https://www.propertypal.com/1077705"/>
    <hyperlink ref="H54" r:id="rId53" display="https://www.propertypal.com/1081343"/>
    <hyperlink ref="H55" r:id="rId54" display="https://www.propertypal.com/1098057"/>
    <hyperlink ref="H56" r:id="rId55" display="https://www.propertypal.com/1098884"/>
    <hyperlink ref="H57" r:id="rId56" display="https://www.propertypal.com/1047124"/>
    <hyperlink ref="H58" r:id="rId57" display="https://www.propertypal.com/1096920"/>
    <hyperlink ref="H59" r:id="rId58" display="https://www.propertypal.com/1056877"/>
    <hyperlink ref="H60" r:id="rId59" display="https://www.propertypal.com/1097041"/>
    <hyperlink ref="H61" r:id="rId60" display="https://www.propertypal.com/1093202"/>
    <hyperlink ref="H62" r:id="rId61" display="https://www.propertypal.com/1062918"/>
    <hyperlink ref="H63" r:id="rId62" display="https://www.propertypal.com/1076612"/>
    <hyperlink ref="H64" r:id="rId63" display="https://www.propertypal.com/1099248"/>
    <hyperlink ref="H65" r:id="rId64" display="https://www.propertypal.com/1081018"/>
    <hyperlink ref="H66" r:id="rId65" display="https://www.propertypal.com/1092007"/>
    <hyperlink ref="H67" r:id="rId66" display="https://www.propertypal.com/1098578"/>
    <hyperlink ref="H68" r:id="rId67" display="https://www.propertypal.com/1094812"/>
    <hyperlink ref="H69" r:id="rId68" display="https://www.propertypal.com/1085540"/>
    <hyperlink ref="H70" r:id="rId69" display="https://www.propertypal.com/1082673"/>
    <hyperlink ref="H71" r:id="rId70" display="https://www.propertypal.com/1098476"/>
    <hyperlink ref="H72" r:id="rId71" display="https://www.propertypal.com/1095554"/>
    <hyperlink ref="H73" r:id="rId72" display="https://www.propertypal.com/1085244"/>
    <hyperlink ref="H74" r:id="rId73" display="https://www.propertypal.com/1099396"/>
    <hyperlink ref="H75" r:id="rId74" display="https://www.propertypal.com/1085558"/>
    <hyperlink ref="H76" r:id="rId75" display="https://www.propertypal.com/1083222"/>
    <hyperlink ref="H77" r:id="rId76" display="https://www.propertypal.com/1085344"/>
    <hyperlink ref="H78" r:id="rId77" display="https://www.propertypal.com/1072108"/>
    <hyperlink ref="H79" r:id="rId78" display="https://www.propertypal.com/1111686"/>
    <hyperlink ref="H80" r:id="rId79" display="https://www.propertypal.com/1113354"/>
    <hyperlink ref="H81" r:id="rId80" display="https://www.propertypal.com/1074996"/>
    <hyperlink ref="H82" r:id="rId81" display="https://www.propertypal.com/1082526"/>
    <hyperlink ref="H83" r:id="rId82" display="https://www.propertypal.com/1062169"/>
    <hyperlink ref="H84" r:id="rId83" display="https://www.propertypal.com/1094400"/>
    <hyperlink ref="H85" r:id="rId84" display="https://www.propertypal.com/1081623"/>
    <hyperlink ref="H86" r:id="rId85" display="https://www.propertypal.com/1096361"/>
    <hyperlink ref="H87" r:id="rId86" display="https://www.propertypal.com/1081558"/>
    <hyperlink ref="H88" r:id="rId87" display="https://www.propertypal.com/1089152"/>
    <hyperlink ref="H89" r:id="rId88" display="https://www.propertypal.com/1084598"/>
    <hyperlink ref="H90" r:id="rId89" display="https://www.propertypal.com/1084859"/>
    <hyperlink ref="H91" r:id="rId90" display="https://www.propertypal.com/1103285"/>
    <hyperlink ref="H92" r:id="rId91" display="https://www.propertypal.com/1098817"/>
    <hyperlink ref="H93" r:id="rId92" display="https://www.propertypal.com/1080835"/>
    <hyperlink ref="H94" r:id="rId93" display="https://www.propertypal.com/1077035"/>
    <hyperlink ref="H95" r:id="rId94" display="https://www.propertypal.com/1060883"/>
    <hyperlink ref="H96" r:id="rId95" display="https://www.propertypal.com/1082403"/>
    <hyperlink ref="H97" r:id="rId96" display="https://www.propertypal.com/1075870"/>
    <hyperlink ref="H98" r:id="rId97" display="https://www.propertypal.com/1095134"/>
    <hyperlink ref="H99" r:id="rId98" display="https://www.propertypal.com/1062999"/>
    <hyperlink ref="H100" r:id="rId99" display="https://www.propertypal.com/1072981"/>
    <hyperlink ref="H101" r:id="rId100" display="https://www.propertypal.com/1078856"/>
    <hyperlink ref="H102" r:id="rId101" display="https://www.propertypal.com/1082608"/>
    <hyperlink ref="H103" r:id="rId102" display="https://www.propertypal.com/1056642"/>
    <hyperlink ref="H104" r:id="rId103" display="https://www.propertypal.com/960835"/>
    <hyperlink ref="H105" r:id="rId104" display="https://www.propertypal.com/1061982"/>
    <hyperlink ref="H106" r:id="rId105" display="https://www.propertypal.com/1096907"/>
    <hyperlink ref="H107" r:id="rId106" display="https://www.propertypal.com/1066677"/>
    <hyperlink ref="H108" r:id="rId107" display="https://www.propertypal.com/1080979"/>
    <hyperlink ref="H109" r:id="rId108" display="https://www.propertypal.com/1096674"/>
    <hyperlink ref="H110" r:id="rId109" display="https://www.propertypal.com/1083184"/>
    <hyperlink ref="H111" r:id="rId110" display="https://www.propertypal.com/1059211"/>
    <hyperlink ref="H112" r:id="rId111" display="https://www.propertypal.com/808655"/>
    <hyperlink ref="H113" r:id="rId112" display="https://www.propertypal.com/1100919"/>
    <hyperlink ref="H114" r:id="rId113" display="https://www.propertypal.com/1076768"/>
    <hyperlink ref="H115" r:id="rId114" display="https://www.propertypal.com/1106735"/>
    <hyperlink ref="H116" r:id="rId115" display="https://www.propertypal.com/1078317"/>
    <hyperlink ref="H117" r:id="rId116" display="https://www.propertypal.com/1050395"/>
    <hyperlink ref="H118" r:id="rId117" display="https://www.propertypal.com/1074448"/>
    <hyperlink ref="H119" r:id="rId118" display="https://www.propertypal.com/1077264"/>
    <hyperlink ref="H120" r:id="rId119" display="https://www.propertypal.com/1106745"/>
    <hyperlink ref="H121" r:id="rId120" display="https://www.propertypal.com/1060743"/>
    <hyperlink ref="H122" r:id="rId121" display="https://www.propertypal.com/1110382"/>
    <hyperlink ref="H123" r:id="rId122" display="https://www.propertypal.com/1100790"/>
    <hyperlink ref="H124" r:id="rId123" display="https://www.propertypal.com/1088870"/>
    <hyperlink ref="H125" r:id="rId124" display="https://www.propertypal.com/1075409"/>
    <hyperlink ref="H126" r:id="rId125" display="https://www.propertypal.com/1055135"/>
    <hyperlink ref="H127" r:id="rId126" display="https://www.propertypal.com/1084186"/>
    <hyperlink ref="H128" r:id="rId127" display="https://www.propertypal.com/1124013"/>
    <hyperlink ref="H129" r:id="rId128" display="https://www.propertypal.com/1069115"/>
    <hyperlink ref="H130" r:id="rId129" display="https://www.propertypal.com/1046910"/>
    <hyperlink ref="H131" r:id="rId130" display="https://www.propertypal.com/1103426"/>
    <hyperlink ref="H132" r:id="rId131" display="https://www.propertypal.com/1085202"/>
    <hyperlink ref="H133" r:id="rId132" display="https://www.propertypal.com/1098361"/>
    <hyperlink ref="H134" r:id="rId133" display="https://www.propertypal.com/1090341"/>
    <hyperlink ref="H135" r:id="rId134" display="https://www.propertypal.com/1105349"/>
    <hyperlink ref="H136" r:id="rId135" display="https://www.propertypal.com/1129393"/>
    <hyperlink ref="H137" r:id="rId136" display="https://www.propertypal.com/1103206"/>
    <hyperlink ref="H138" r:id="rId137" display="https://www.propertypal.com/1099262"/>
    <hyperlink ref="H139" r:id="rId138" display="https://www.propertypal.com/1081093"/>
    <hyperlink ref="H140" r:id="rId139" display="https://www.propertypal.com/1090346"/>
    <hyperlink ref="H141" r:id="rId140" display="https://www.propertypal.com/1058258"/>
    <hyperlink ref="H142" r:id="rId141" display="https://www.propertypal.com/1096127"/>
    <hyperlink ref="H143" r:id="rId142" display="https://www.propertypal.com/1053932"/>
    <hyperlink ref="H144" r:id="rId143" display="https://www.propertypal.com/1067022"/>
    <hyperlink ref="H145" r:id="rId144" display="https://www.propertypal.com/1094243"/>
    <hyperlink ref="H146" r:id="rId145" display="https://www.propertypal.com/1080352"/>
    <hyperlink ref="H147" r:id="rId146" display="https://www.propertypal.com/1059017"/>
    <hyperlink ref="H148" r:id="rId147" display="https://www.propertypal.com/1089030"/>
    <hyperlink ref="H149" r:id="rId148" display="https://www.propertypal.com/1096082"/>
    <hyperlink ref="H150" r:id="rId149" display="https://www.propertypal.com/1060146"/>
    <hyperlink ref="H151" r:id="rId150" display="https://www.propertypal.com/1094957"/>
    <hyperlink ref="H152" r:id="rId151" display="https://www.propertypal.com/1088062"/>
    <hyperlink ref="H153" r:id="rId152" display="https://www.propertypal.com/1062309"/>
    <hyperlink ref="H154" r:id="rId153" display="https://www.propertypal.com/1077588"/>
    <hyperlink ref="H155" r:id="rId154" display="https://www.propertypal.com/1052435"/>
    <hyperlink ref="H156" r:id="rId155" display="https://www.propertypal.com/1084646"/>
    <hyperlink ref="H157" r:id="rId156" display="https://www.propertypal.com/1086287"/>
    <hyperlink ref="H158" r:id="rId157" display="https://www.propertypal.com/1026926"/>
    <hyperlink ref="H159" r:id="rId158" display="https://www.propertypal.com/1015682"/>
    <hyperlink ref="H160" r:id="rId159" display="https://www.propertypal.com/1106007"/>
    <hyperlink ref="H161" r:id="rId160" display="https://www.propertypal.com/1092738"/>
    <hyperlink ref="H162" r:id="rId161" display="https://www.propertypal.com/1084360"/>
    <hyperlink ref="H163" r:id="rId162" display="https://www.propertypal.com/1066469"/>
    <hyperlink ref="H164" r:id="rId163" display="https://www.propertypal.com/1074159"/>
    <hyperlink ref="H165" r:id="rId164" display="https://www.propertypal.com/1085357"/>
    <hyperlink ref="H166" r:id="rId165" display="https://www.propertypal.com/1087815"/>
    <hyperlink ref="H167" r:id="rId166" display="https://www.propertypal.com/1099858"/>
    <hyperlink ref="H168" r:id="rId167" display="https://www.propertypal.com/1097995"/>
    <hyperlink ref="H169" r:id="rId168" display="https://www.propertypal.com/1100896"/>
    <hyperlink ref="H170" r:id="rId169" display="https://www.propertypal.com/1072714"/>
    <hyperlink ref="H171" r:id="rId170" display="https://www.propertypal.com/1071363"/>
    <hyperlink ref="H172" r:id="rId171" display="https://www.propertypal.com/1051666"/>
    <hyperlink ref="H173" r:id="rId172" display="https://www.propertypal.com/1092635"/>
    <hyperlink ref="H174" r:id="rId173" display="https://www.propertypal.com/1086477"/>
    <hyperlink ref="H175" r:id="rId174" display="https://www.propertypal.com/1056401"/>
    <hyperlink ref="H176" r:id="rId175" display="https://www.propertypal.com/1096500"/>
    <hyperlink ref="H177" r:id="rId176" display="https://www.propertypal.com/1058478"/>
    <hyperlink ref="H178" r:id="rId177" display="https://www.propertypal.com/1032432"/>
    <hyperlink ref="H179" r:id="rId178" display="https://www.propertypal.com/1078858"/>
    <hyperlink ref="H180" r:id="rId179" display="https://www.propertypal.com/1058783"/>
    <hyperlink ref="H181" r:id="rId180" display="https://www.propertypal.com/1041361"/>
    <hyperlink ref="H182" r:id="rId181" display="https://www.propertypal.com/1057027"/>
    <hyperlink ref="H183" r:id="rId182" display="https://www.propertypal.com/1105931"/>
    <hyperlink ref="H184" r:id="rId183" display="https://www.propertypal.com/1081172"/>
    <hyperlink ref="H185" r:id="rId184" display="https://www.propertypal.com/1041387"/>
    <hyperlink ref="H186" r:id="rId185" display="https://www.propertypal.com/1064485"/>
    <hyperlink ref="H187" r:id="rId186" display="https://www.propertypal.com/1096778"/>
    <hyperlink ref="H188" r:id="rId187" display="https://www.propertypal.com/1071562"/>
    <hyperlink ref="H189" r:id="rId188" display="https://www.propertypal.com/1083190"/>
    <hyperlink ref="H190" r:id="rId189" display="https://www.propertypal.com/1051795"/>
    <hyperlink ref="H191" r:id="rId190" display="https://www.propertypal.com/1065690"/>
    <hyperlink ref="H192" r:id="rId191" display="https://www.propertypal.com/1101811"/>
    <hyperlink ref="H193" r:id="rId192" display="https://www.propertypal.com/1099136"/>
    <hyperlink ref="H194" r:id="rId193" display="https://www.propertypal.com/1086026"/>
    <hyperlink ref="H195" r:id="rId194" display="https://www.propertypal.com/1099832"/>
    <hyperlink ref="H196" r:id="rId195" display="https://www.propertypal.com/1095193"/>
    <hyperlink ref="H197" r:id="rId196" display="https://www.propertypal.com/1096598"/>
    <hyperlink ref="H198" r:id="rId197" display="https://www.propertypal.com/1091029"/>
    <hyperlink ref="H199" r:id="rId198" display="https://www.propertypal.com/1068867"/>
    <hyperlink ref="H200" r:id="rId199" display="https://www.propertypal.com/1038397"/>
    <hyperlink ref="H201" r:id="rId200" display="https://www.propertypal.com/1111007"/>
    <hyperlink ref="H202" r:id="rId201" display="https://www.propertypal.com/1055632"/>
    <hyperlink ref="H203" r:id="rId202" display="https://www.propertypal.com/1061527"/>
    <hyperlink ref="H204" r:id="rId203" display="https://www.propertypal.com/1057057"/>
    <hyperlink ref="H205" r:id="rId204" display="https://www.propertypal.com/1085616"/>
    <hyperlink ref="H206" r:id="rId205" display="https://www.propertypal.com/1075389"/>
    <hyperlink ref="H207" r:id="rId206" display="https://www.propertypal.com/1097002"/>
    <hyperlink ref="H208" r:id="rId207" display="https://www.propertypal.com/1068476"/>
    <hyperlink ref="H209" r:id="rId208" display="https://www.propertypal.com/1129396"/>
    <hyperlink ref="H210" r:id="rId209" display="https://www.propertypal.com/1106657"/>
    <hyperlink ref="H211" r:id="rId210" display="https://www.propertypal.com/1077753"/>
    <hyperlink ref="H212" r:id="rId211" display="https://www.propertypal.com/1089979"/>
    <hyperlink ref="H213" r:id="rId212" display="https://www.propertypal.com/1095105"/>
    <hyperlink ref="H214" r:id="rId213" display="https://www.propertypal.com/1075553"/>
    <hyperlink ref="H215" r:id="rId214" display="https://www.propertypal.com/1084138"/>
    <hyperlink ref="H216" r:id="rId215" display="https://www.propertypal.com/1125152"/>
    <hyperlink ref="H217" r:id="rId216" display="https://www.propertypal.com/1101699"/>
    <hyperlink ref="H218" r:id="rId217" display="https://www.propertypal.com/1060319"/>
    <hyperlink ref="H219" r:id="rId218" display="https://www.propertypal.com/1067007"/>
    <hyperlink ref="H220" r:id="rId219" display="https://www.propertypal.com/1083914"/>
    <hyperlink ref="H221" r:id="rId220" display="https://www.propertypal.com/1069459"/>
    <hyperlink ref="H222" r:id="rId221" display="https://www.propertypal.com/1085238"/>
    <hyperlink ref="H223" r:id="rId222" display="https://www.propertypal.com/1124093"/>
    <hyperlink ref="H224" r:id="rId223" display="https://www.propertypal.com/1081879"/>
    <hyperlink ref="H225" r:id="rId224" display="https://www.propertypal.com/1079299"/>
    <hyperlink ref="H226" r:id="rId225" display="https://www.propertypal.com/1084787"/>
    <hyperlink ref="H227" r:id="rId226" display="https://www.propertypal.com/1092032"/>
    <hyperlink ref="H228" r:id="rId227" display="https://www.propertypal.com/1085070"/>
    <hyperlink ref="H229" r:id="rId228" display="https://www.propertypal.com/1100142"/>
    <hyperlink ref="H230" r:id="rId229" display="https://www.propertypal.com/1066634"/>
    <hyperlink ref="H231" r:id="rId230" display="https://www.propertypal.com/108992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0"/>
    <col collapsed="false" customWidth="true" hidden="false" outlineLevel="0" max="5" min="4" style="0" width="14"/>
    <col collapsed="false" customWidth="true" hidden="false" outlineLevel="0" max="7" min="6" style="0" width="12"/>
  </cols>
  <sheetData>
    <row r="1" customFormat="false" ht="15" hidden="false" customHeight="false" outlineLevel="0" collapsed="false">
      <c r="A1" s="6" t="s">
        <v>610</v>
      </c>
    </row>
    <row r="2" customFormat="false" ht="15" hidden="false" customHeight="false" outlineLevel="0" collapsed="false">
      <c r="A2" s="7" t="s">
        <v>611</v>
      </c>
    </row>
    <row r="4" customFormat="false" ht="30" hidden="false" customHeight="true" outlineLevel="0" collapsed="false">
      <c r="A4" s="8" t="s">
        <v>612</v>
      </c>
      <c r="B4" s="8" t="s">
        <v>1</v>
      </c>
      <c r="C4" s="8" t="s">
        <v>613</v>
      </c>
      <c r="D4" s="8" t="s">
        <v>614</v>
      </c>
      <c r="E4" s="8" t="s">
        <v>615</v>
      </c>
      <c r="F4" s="8" t="s">
        <v>616</v>
      </c>
      <c r="G4" s="8" t="s">
        <v>617</v>
      </c>
    </row>
    <row r="5" customFormat="false" ht="15" hidden="false" customHeight="false" outlineLevel="0" collapsed="false">
      <c r="A5" s="2" t="s">
        <v>9</v>
      </c>
      <c r="B5" s="3" t="s">
        <v>618</v>
      </c>
      <c r="C5" s="3" t="n">
        <f aca="false">COUNTIFS('Sale Agreed'!$D$2:$D$231,"BT7",'Sale Agreed'!$B$2:$B$231,1)</f>
        <v>0</v>
      </c>
      <c r="D5" s="4" t="str">
        <f aca="false">IFERROR(AVERAGEIFS('Sale Agreed'!$C$2:$C$231,'Sale Agreed'!$D$2:$D$231,"BT7",'Sale Agreed'!$B$2:$B$231,1),"-")</f>
        <v>-</v>
      </c>
      <c r="E5" s="4" t="str">
        <f aca="false" t="array" ref="E5:E5">IF(C5=0,"-",MEDIAN(IF(('Sale Agreed'!$D$2:$D$231="BT7")*('Sale Agreed'!$B$2:$B$231=1),'Sale Agreed'!$C$2:$C$231)))</f>
        <v>-</v>
      </c>
      <c r="F5" s="4" t="str">
        <f aca="false">IF(C5=0,"-",_xlfn.MINIFS('Sale Agreed'!$C$2:$C$231,'Sale Agreed'!$D$2:$D$231,"BT7",'Sale Agreed'!$B$2:$B$231,1))</f>
        <v>-</v>
      </c>
      <c r="G5" s="4" t="str">
        <f aca="false">IF(C5=0,"-",_xlfn.MAXIFS('Sale Agreed'!$C$2:$C$231,'Sale Agreed'!$D$2:$D$231,"BT7",'Sale Agreed'!$B$2:$B$231,1))</f>
        <v>-</v>
      </c>
    </row>
    <row r="6" customFormat="false" ht="15" hidden="false" customHeight="false" outlineLevel="0" collapsed="false">
      <c r="A6" s="2" t="s">
        <v>9</v>
      </c>
      <c r="B6" s="3" t="s">
        <v>619</v>
      </c>
      <c r="C6" s="3" t="n">
        <f aca="false">COUNTIFS('Sale Agreed'!$D$2:$D$231,"BT7",'Sale Agreed'!$B$2:$B$231,2)</f>
        <v>52</v>
      </c>
      <c r="D6" s="4" t="n">
        <f aca="false">IFERROR(AVERAGEIFS('Sale Agreed'!$C$2:$C$231,'Sale Agreed'!$D$2:$D$231,"BT7",'Sale Agreed'!$B$2:$B$231,2),"-")</f>
        <v>189975.961538462</v>
      </c>
      <c r="E6" s="4" t="n">
        <f aca="false" t="array" ref="E6:E6">IF(C6=0,"-",MEDIAN(IF(('Sale Agreed'!$D$2:$D$231="BT7")*('Sale Agreed'!$B$2:$B$231=2),'Sale Agreed'!$C$2:$C$231)))</f>
        <v>187450</v>
      </c>
      <c r="F6" s="4" t="n">
        <f aca="false">IF(C6=0,"-",_xlfn.MINIFS('Sale Agreed'!$C$2:$C$231,'Sale Agreed'!$D$2:$D$231,"BT7",'Sale Agreed'!$B$2:$B$231,2))</f>
        <v>89950</v>
      </c>
      <c r="G6" s="4" t="n">
        <f aca="false">IF(C6=0,"-",_xlfn.MAXIFS('Sale Agreed'!$C$2:$C$231,'Sale Agreed'!$D$2:$D$231,"BT7",'Sale Agreed'!$B$2:$B$231,2))</f>
        <v>335000</v>
      </c>
    </row>
    <row r="7" customFormat="false" ht="15" hidden="false" customHeight="false" outlineLevel="0" collapsed="false">
      <c r="A7" s="2" t="s">
        <v>9</v>
      </c>
      <c r="B7" s="3" t="s">
        <v>620</v>
      </c>
      <c r="C7" s="3" t="n">
        <f aca="false">COUNTIFS('Sale Agreed'!$D$2:$D$231,"BT7",'Sale Agreed'!$B$2:$B$231,3)</f>
        <v>34</v>
      </c>
      <c r="D7" s="4" t="n">
        <f aca="false">IFERROR(AVERAGEIFS('Sale Agreed'!$C$2:$C$231,'Sale Agreed'!$D$2:$D$231,"BT7",'Sale Agreed'!$B$2:$B$231,3),"-")</f>
        <v>225226.470588235</v>
      </c>
      <c r="E7" s="4" t="n">
        <f aca="false" t="array" ref="E7:E7">IF(C7=0,"-",MEDIAN(IF(('Sale Agreed'!$D$2:$D$231="BT7")*('Sale Agreed'!$B$2:$B$231=3),'Sale Agreed'!$C$2:$C$231)))</f>
        <v>212450</v>
      </c>
      <c r="F7" s="4" t="n">
        <f aca="false">IF(C7=0,"-",_xlfn.MINIFS('Sale Agreed'!$C$2:$C$231,'Sale Agreed'!$D$2:$D$231,"BT7",'Sale Agreed'!$B$2:$B$231,3))</f>
        <v>129950</v>
      </c>
      <c r="G7" s="4" t="n">
        <f aca="false">IF(C7=0,"-",_xlfn.MAXIFS('Sale Agreed'!$C$2:$C$231,'Sale Agreed'!$D$2:$D$231,"BT7",'Sale Agreed'!$B$2:$B$231,3))</f>
        <v>399950</v>
      </c>
    </row>
    <row r="8" customFormat="false" ht="15" hidden="false" customHeight="false" outlineLevel="0" collapsed="false">
      <c r="A8" s="2" t="s">
        <v>9</v>
      </c>
      <c r="B8" s="3" t="s">
        <v>621</v>
      </c>
      <c r="C8" s="3" t="n">
        <f aca="false">COUNTIFS('Sale Agreed'!$D$2:$D$231,"BT7",'Sale Agreed'!$B$2:$B$231,4)</f>
        <v>16</v>
      </c>
      <c r="D8" s="4" t="n">
        <f aca="false">IFERROR(AVERAGEIFS('Sale Agreed'!$C$2:$C$231,'Sale Agreed'!$D$2:$D$231,"BT7",'Sale Agreed'!$B$2:$B$231,4),"-")</f>
        <v>231353.125</v>
      </c>
      <c r="E8" s="4" t="n">
        <f aca="false" t="array" ref="E8:E8">IF(C8=0,"-",MEDIAN(IF(('Sale Agreed'!$D$2:$D$231="BT7")*('Sale Agreed'!$B$2:$B$231=4),'Sale Agreed'!$C$2:$C$231)))</f>
        <v>217500</v>
      </c>
      <c r="F8" s="4" t="n">
        <f aca="false">IF(C8=0,"-",_xlfn.MINIFS('Sale Agreed'!$C$2:$C$231,'Sale Agreed'!$D$2:$D$231,"BT7",'Sale Agreed'!$B$2:$B$231,4))</f>
        <v>170000</v>
      </c>
      <c r="G8" s="4" t="n">
        <f aca="false">IF(C8=0,"-",_xlfn.MAXIFS('Sale Agreed'!$C$2:$C$231,'Sale Agreed'!$D$2:$D$231,"BT7",'Sale Agreed'!$B$2:$B$231,4))</f>
        <v>384950</v>
      </c>
    </row>
    <row r="9" customFormat="false" ht="15" hidden="false" customHeight="false" outlineLevel="0" collapsed="false">
      <c r="A9" s="2" t="s">
        <v>9</v>
      </c>
      <c r="B9" s="3" t="s">
        <v>622</v>
      </c>
      <c r="C9" s="3" t="n">
        <f aca="false">COUNTIFS('Sale Agreed'!$D$2:$D$231,"BT7",'Sale Agreed'!$B$2:$B$231,5)</f>
        <v>7</v>
      </c>
      <c r="D9" s="4" t="n">
        <f aca="false">IFERROR(AVERAGEIFS('Sale Agreed'!$C$2:$C$231,'Sale Agreed'!$D$2:$D$231,"BT7",'Sale Agreed'!$B$2:$B$231,5),"-")</f>
        <v>369285.714285714</v>
      </c>
      <c r="E9" s="4" t="n">
        <f aca="false" t="array" ref="E9:E9">IF(C9=0,"-",MEDIAN(IF(('Sale Agreed'!$D$2:$D$231="BT7")*('Sale Agreed'!$B$2:$B$231=5),'Sale Agreed'!$C$2:$C$231)))</f>
        <v>350000</v>
      </c>
      <c r="F9" s="4" t="n">
        <f aca="false">IF(C9=0,"-",_xlfn.MINIFS('Sale Agreed'!$C$2:$C$231,'Sale Agreed'!$D$2:$D$231,"BT7",'Sale Agreed'!$B$2:$B$231,5))</f>
        <v>225000</v>
      </c>
      <c r="G9" s="4" t="n">
        <f aca="false">IF(C9=0,"-",_xlfn.MAXIFS('Sale Agreed'!$C$2:$C$231,'Sale Agreed'!$D$2:$D$231,"BT7",'Sale Agreed'!$B$2:$B$231,5))</f>
        <v>525000</v>
      </c>
    </row>
    <row r="10" customFormat="false" ht="15" hidden="false" customHeight="false" outlineLevel="0" collapsed="false">
      <c r="A10" s="2" t="s">
        <v>9</v>
      </c>
      <c r="B10" s="3" t="s">
        <v>623</v>
      </c>
      <c r="C10" s="3" t="n">
        <f aca="false">COUNTIFS('Sale Agreed'!$D$2:$D$231,"BT7",'Sale Agreed'!$B$2:$B$231,"&gt;=6")</f>
        <v>4</v>
      </c>
      <c r="D10" s="4" t="n">
        <f aca="false">IFERROR(AVERAGEIFS('Sale Agreed'!$C$2:$C$231,'Sale Agreed'!$D$2:$D$231,"BT7",'Sale Agreed'!$B$2:$B$231,"&gt;=6"),"-")</f>
        <v>439987.5</v>
      </c>
      <c r="E10" s="4" t="n">
        <f aca="false" t="array" ref="E10:E10">IF(C10=0,"-",MEDIAN(IF(('Sale Agreed'!$D$2:$D$231="BT7")*('Sale Agreed'!$B$2:$B$231&gt;=6),'Sale Agreed'!$C$2:$C$231)))</f>
        <v>397475</v>
      </c>
      <c r="F10" s="4" t="n">
        <f aca="false">IF(C10=0,"-",_xlfn.MINIFS('Sale Agreed'!$C$2:$C$231,'Sale Agreed'!$D$2:$D$231,"BT7",'Sale Agreed'!$B$2:$B$231,"&gt;=6"))</f>
        <v>265000</v>
      </c>
      <c r="G10" s="4" t="n">
        <f aca="false">IF(C10=0,"-",_xlfn.MAXIFS('Sale Agreed'!$C$2:$C$231,'Sale Agreed'!$D$2:$D$231,"BT7",'Sale Agreed'!$B$2:$B$231,"&gt;=6"))</f>
        <v>700000</v>
      </c>
    </row>
    <row r="11" customFormat="false" ht="15" hidden="false" customHeight="false" outlineLevel="0" collapsed="false">
      <c r="A11" s="9" t="s">
        <v>9</v>
      </c>
      <c r="B11" s="10" t="s">
        <v>624</v>
      </c>
      <c r="C11" s="10" t="n">
        <f aca="false">SUM(C5:C10)</f>
        <v>113</v>
      </c>
      <c r="D11" s="11" t="n">
        <f aca="false">IFERROR(AVERAGEIFS('Sale Agreed'!$C$2:$C$231,'Sale Agreed'!$D$2:$D$231,"BT7"),"-")</f>
        <v>226398.672566372</v>
      </c>
      <c r="E11" s="11" t="n">
        <f aca="false" t="array" ref="E11:E11">MEDIAN(IF(('Sale Agreed'!$D$2:$D$231="BT7"),'Sale Agreed'!$C$2:$C$231))</f>
        <v>200000</v>
      </c>
      <c r="F11" s="11" t="n">
        <f aca="false">_xlfn.MINIFS('Sale Agreed'!$C$2:$C$231,'Sale Agreed'!$D$2:$D$231,"BT7")</f>
        <v>89950</v>
      </c>
      <c r="G11" s="11" t="n">
        <f aca="false">_xlfn.MAXIFS('Sale Agreed'!$C$2:$C$231,'Sale Agreed'!$D$2:$D$231,"BT7")</f>
        <v>700000</v>
      </c>
    </row>
    <row r="12" customFormat="false" ht="15" hidden="false" customHeight="false" outlineLevel="0" collapsed="false">
      <c r="A12" s="2"/>
      <c r="B12" s="3"/>
      <c r="C12" s="3"/>
      <c r="D12" s="4"/>
      <c r="E12" s="4"/>
      <c r="F12" s="4"/>
      <c r="G12" s="4"/>
    </row>
    <row r="13" customFormat="false" ht="15" hidden="false" customHeight="false" outlineLevel="0" collapsed="false">
      <c r="A13" s="2" t="s">
        <v>329</v>
      </c>
      <c r="B13" s="3" t="s">
        <v>618</v>
      </c>
      <c r="C13" s="3" t="n">
        <f aca="false">COUNTIFS('Sale Agreed'!$D$2:$D$231,"BT12",'Sale Agreed'!$B$2:$B$231,1)</f>
        <v>1</v>
      </c>
      <c r="D13" s="4" t="n">
        <f aca="false">IFERROR(AVERAGEIFS('Sale Agreed'!$C$2:$C$231,'Sale Agreed'!$D$2:$D$231,"BT12",'Sale Agreed'!$B$2:$B$231,1),"-")</f>
        <v>84950</v>
      </c>
      <c r="E13" s="4" t="n">
        <f aca="false" t="array" ref="E13:E13">IF(C13=0,"-",MEDIAN(IF(('Sale Agreed'!$D$2:$D$231="BT12")*('Sale Agreed'!$B$2:$B$231=1),'Sale Agreed'!$C$2:$C$231)))</f>
        <v>84950</v>
      </c>
      <c r="F13" s="4" t="n">
        <f aca="false">IF(C13=0,"-",_xlfn.MINIFS('Sale Agreed'!$C$2:$C$231,'Sale Agreed'!$D$2:$D$231,"BT12",'Sale Agreed'!$B$2:$B$231,1))</f>
        <v>84950</v>
      </c>
      <c r="G13" s="4" t="n">
        <f aca="false">IF(C13=0,"-",_xlfn.MAXIFS('Sale Agreed'!$C$2:$C$231,'Sale Agreed'!$D$2:$D$231,"BT12",'Sale Agreed'!$B$2:$B$231,1))</f>
        <v>84950</v>
      </c>
    </row>
    <row r="14" customFormat="false" ht="15" hidden="false" customHeight="false" outlineLevel="0" collapsed="false">
      <c r="A14" s="2" t="s">
        <v>329</v>
      </c>
      <c r="B14" s="3" t="s">
        <v>619</v>
      </c>
      <c r="C14" s="3" t="n">
        <f aca="false">COUNTIFS('Sale Agreed'!$D$2:$D$231,"BT12",'Sale Agreed'!$B$2:$B$231,2)</f>
        <v>48</v>
      </c>
      <c r="D14" s="4" t="n">
        <f aca="false">IFERROR(AVERAGEIFS('Sale Agreed'!$C$2:$C$231,'Sale Agreed'!$D$2:$D$231,"BT12",'Sale Agreed'!$B$2:$B$231,2),"-")</f>
        <v>126061.458333333</v>
      </c>
      <c r="E14" s="4" t="n">
        <f aca="false" t="array" ref="E14:E14">IF(C14=0,"-",MEDIAN(IF(('Sale Agreed'!$D$2:$D$231="BT12")*('Sale Agreed'!$B$2:$B$231=2),'Sale Agreed'!$C$2:$C$231)))</f>
        <v>124950</v>
      </c>
      <c r="F14" s="4" t="n">
        <f aca="false">IF(C14=0,"-",_xlfn.MINIFS('Sale Agreed'!$C$2:$C$231,'Sale Agreed'!$D$2:$D$231,"BT12",'Sale Agreed'!$B$2:$B$231,2))</f>
        <v>79950</v>
      </c>
      <c r="G14" s="4" t="n">
        <f aca="false">IF(C14=0,"-",_xlfn.MAXIFS('Sale Agreed'!$C$2:$C$231,'Sale Agreed'!$D$2:$D$231,"BT12",'Sale Agreed'!$B$2:$B$231,2))</f>
        <v>185000</v>
      </c>
    </row>
    <row r="15" customFormat="false" ht="15" hidden="false" customHeight="false" outlineLevel="0" collapsed="false">
      <c r="A15" s="2" t="s">
        <v>329</v>
      </c>
      <c r="B15" s="3" t="s">
        <v>620</v>
      </c>
      <c r="C15" s="3" t="n">
        <f aca="false">COUNTIFS('Sale Agreed'!$D$2:$D$231,"BT12",'Sale Agreed'!$B$2:$B$231,3)</f>
        <v>58</v>
      </c>
      <c r="D15" s="4" t="n">
        <f aca="false">IFERROR(AVERAGEIFS('Sale Agreed'!$C$2:$C$231,'Sale Agreed'!$D$2:$D$231,"BT12",'Sale Agreed'!$B$2:$B$231,3),"-")</f>
        <v>148236.206896552</v>
      </c>
      <c r="E15" s="4" t="n">
        <f aca="false" t="array" ref="E15:E15">IF(C15=0,"-",MEDIAN(IF(('Sale Agreed'!$D$2:$D$231="BT12")*('Sale Agreed'!$B$2:$B$231=3),'Sale Agreed'!$C$2:$C$231)))</f>
        <v>144950</v>
      </c>
      <c r="F15" s="4" t="n">
        <f aca="false">IF(C15=0,"-",_xlfn.MINIFS('Sale Agreed'!$C$2:$C$231,'Sale Agreed'!$D$2:$D$231,"BT12",'Sale Agreed'!$B$2:$B$231,3))</f>
        <v>59950</v>
      </c>
      <c r="G15" s="4" t="n">
        <f aca="false">IF(C15=0,"-",_xlfn.MAXIFS('Sale Agreed'!$C$2:$C$231,'Sale Agreed'!$D$2:$D$231,"BT12",'Sale Agreed'!$B$2:$B$231,3))</f>
        <v>249950</v>
      </c>
    </row>
    <row r="16" customFormat="false" ht="15" hidden="false" customHeight="false" outlineLevel="0" collapsed="false">
      <c r="A16" s="2" t="s">
        <v>329</v>
      </c>
      <c r="B16" s="3" t="s">
        <v>621</v>
      </c>
      <c r="C16" s="3" t="n">
        <f aca="false">COUNTIFS('Sale Agreed'!$D$2:$D$231,"BT12",'Sale Agreed'!$B$2:$B$231,4)</f>
        <v>10</v>
      </c>
      <c r="D16" s="4" t="n">
        <f aca="false">IFERROR(AVERAGEIFS('Sale Agreed'!$C$2:$C$231,'Sale Agreed'!$D$2:$D$231,"BT12",'Sale Agreed'!$B$2:$B$231,4),"-")</f>
        <v>146465</v>
      </c>
      <c r="E16" s="4" t="n">
        <f aca="false" t="array" ref="E16:E16">IF(C16=0,"-",MEDIAN(IF(('Sale Agreed'!$D$2:$D$231="BT12")*('Sale Agreed'!$B$2:$B$231=4),'Sale Agreed'!$C$2:$C$231)))</f>
        <v>149950</v>
      </c>
      <c r="F16" s="4" t="n">
        <f aca="false">IF(C16=0,"-",_xlfn.MINIFS('Sale Agreed'!$C$2:$C$231,'Sale Agreed'!$D$2:$D$231,"BT12",'Sale Agreed'!$B$2:$B$231,4))</f>
        <v>119950</v>
      </c>
      <c r="G16" s="4" t="n">
        <f aca="false">IF(C16=0,"-",_xlfn.MAXIFS('Sale Agreed'!$C$2:$C$231,'Sale Agreed'!$D$2:$D$231,"BT12",'Sale Agreed'!$B$2:$B$231,4))</f>
        <v>174950</v>
      </c>
    </row>
    <row r="17" customFormat="false" ht="15" hidden="false" customHeight="false" outlineLevel="0" collapsed="false">
      <c r="A17" s="2" t="s">
        <v>329</v>
      </c>
      <c r="B17" s="3" t="s">
        <v>622</v>
      </c>
      <c r="C17" s="3" t="n">
        <f aca="false">COUNTIFS('Sale Agreed'!$D$2:$D$231,"BT12",'Sale Agreed'!$B$2:$B$231,5)</f>
        <v>0</v>
      </c>
      <c r="D17" s="4" t="str">
        <f aca="false">IFERROR(AVERAGEIFS('Sale Agreed'!$C$2:$C$231,'Sale Agreed'!$D$2:$D$231,"BT12",'Sale Agreed'!$B$2:$B$231,5),"-")</f>
        <v>-</v>
      </c>
      <c r="E17" s="4" t="str">
        <f aca="false" t="array" ref="E17:E17">IF(C17=0,"-",MEDIAN(IF(('Sale Agreed'!$D$2:$D$231="BT12")*('Sale Agreed'!$B$2:$B$231=5),'Sale Agreed'!$C$2:$C$231)))</f>
        <v>-</v>
      </c>
      <c r="F17" s="4" t="str">
        <f aca="false">IF(C17=0,"-",_xlfn.MINIFS('Sale Agreed'!$C$2:$C$231,'Sale Agreed'!$D$2:$D$231,"BT12",'Sale Agreed'!$B$2:$B$231,5))</f>
        <v>-</v>
      </c>
      <c r="G17" s="4" t="str">
        <f aca="false">IF(C17=0,"-",_xlfn.MAXIFS('Sale Agreed'!$C$2:$C$231,'Sale Agreed'!$D$2:$D$231,"BT12",'Sale Agreed'!$B$2:$B$231,5))</f>
        <v>-</v>
      </c>
    </row>
    <row r="18" customFormat="false" ht="15" hidden="false" customHeight="false" outlineLevel="0" collapsed="false">
      <c r="A18" s="2" t="s">
        <v>329</v>
      </c>
      <c r="B18" s="3" t="s">
        <v>623</v>
      </c>
      <c r="C18" s="3" t="n">
        <f aca="false">COUNTIFS('Sale Agreed'!$D$2:$D$231,"BT12",'Sale Agreed'!$B$2:$B$231,"&gt;=6")</f>
        <v>0</v>
      </c>
      <c r="D18" s="4" t="str">
        <f aca="false">IFERROR(AVERAGEIFS('Sale Agreed'!$C$2:$C$231,'Sale Agreed'!$D$2:$D$231,"BT12",'Sale Agreed'!$B$2:$B$231,"&gt;=6"),"-")</f>
        <v>-</v>
      </c>
      <c r="E18" s="4" t="str">
        <f aca="false" t="array" ref="E18:E18">IF(C18=0,"-",MEDIAN(IF(('Sale Agreed'!$D$2:$D$231="BT12")*('Sale Agreed'!$B$2:$B$231&gt;=6),'Sale Agreed'!$C$2:$C$231)))</f>
        <v>-</v>
      </c>
      <c r="F18" s="4" t="str">
        <f aca="false">IF(C18=0,"-",_xlfn.MINIFS('Sale Agreed'!$C$2:$C$231,'Sale Agreed'!$D$2:$D$231,"BT12",'Sale Agreed'!$B$2:$B$231,"&gt;=6"))</f>
        <v>-</v>
      </c>
      <c r="G18" s="4" t="str">
        <f aca="false">IF(C18=0,"-",_xlfn.MAXIFS('Sale Agreed'!$C$2:$C$231,'Sale Agreed'!$D$2:$D$231,"BT12",'Sale Agreed'!$B$2:$B$231,"&gt;=6"))</f>
        <v>-</v>
      </c>
    </row>
    <row r="19" customFormat="false" ht="15" hidden="false" customHeight="false" outlineLevel="0" collapsed="false">
      <c r="A19" s="9" t="s">
        <v>329</v>
      </c>
      <c r="B19" s="10" t="s">
        <v>624</v>
      </c>
      <c r="C19" s="10" t="n">
        <f aca="false">SUM(C13:C18)</f>
        <v>117</v>
      </c>
      <c r="D19" s="11" t="n">
        <f aca="false">IFERROR(AVERAGEIFS('Sale Agreed'!$C$2:$C$231,'Sale Agreed'!$D$2:$D$231,"BT12"),"-")</f>
        <v>138446.581196581</v>
      </c>
      <c r="E19" s="11" t="n">
        <f aca="false" t="array" ref="E19:E19">MEDIAN(IF(('Sale Agreed'!$D$2:$D$231="BT12"),'Sale Agreed'!$C$2:$C$231))</f>
        <v>134950</v>
      </c>
      <c r="F19" s="11" t="n">
        <f aca="false">_xlfn.MINIFS('Sale Agreed'!$C$2:$C$231,'Sale Agreed'!$D$2:$D$231,"BT12")</f>
        <v>59950</v>
      </c>
      <c r="G19" s="11" t="n">
        <f aca="false">_xlfn.MAXIFS('Sale Agreed'!$C$2:$C$231,'Sale Agreed'!$D$2:$D$231,"BT12")</f>
        <v>249950</v>
      </c>
    </row>
    <row r="20" customFormat="false" ht="15" hidden="false" customHeight="false" outlineLevel="0" collapsed="false">
      <c r="A20" s="2"/>
      <c r="B20" s="3"/>
      <c r="C20" s="3"/>
      <c r="D20" s="4"/>
      <c r="E20" s="4"/>
      <c r="F20" s="4"/>
      <c r="G20" s="4"/>
    </row>
    <row r="21" customFormat="false" ht="15" hidden="false" customHeight="false" outlineLevel="0" collapsed="false">
      <c r="A21" s="2" t="s">
        <v>625</v>
      </c>
      <c r="B21" s="3" t="s">
        <v>618</v>
      </c>
      <c r="C21" s="3" t="n">
        <f aca="false">COUNTIFS('Sale Agreed'!$D$2:$D$231,"*",'Sale Agreed'!$B$2:$B$231,1)</f>
        <v>1</v>
      </c>
      <c r="D21" s="4" t="n">
        <f aca="false">IFERROR(AVERAGEIFS('Sale Agreed'!$C$2:$C$231,'Sale Agreed'!$D$2:$D$231,"*",'Sale Agreed'!$B$2:$B$231,1),"-")</f>
        <v>84950</v>
      </c>
      <c r="E21" s="4" t="n">
        <f aca="false" t="array" ref="E21:E21">IF(C21=0,"-",MEDIAN(IF(('Sale Agreed'!$D$2:$D$231&lt;&gt;"")*('Sale Agreed'!$B$2:$B$231=1),'Sale Agreed'!$C$2:$C$231)))</f>
        <v>84950</v>
      </c>
      <c r="F21" s="4" t="n">
        <f aca="false">IF(C21=0,"-",_xlfn.MINIFS('Sale Agreed'!$C$2:$C$231,'Sale Agreed'!$D$2:$D$231,"*",'Sale Agreed'!$B$2:$B$231,1))</f>
        <v>84950</v>
      </c>
      <c r="G21" s="4" t="n">
        <f aca="false">IF(C21=0,"-",_xlfn.MAXIFS('Sale Agreed'!$C$2:$C$231,'Sale Agreed'!$D$2:$D$231,"*",'Sale Agreed'!$B$2:$B$231,1))</f>
        <v>84950</v>
      </c>
    </row>
    <row r="22" customFormat="false" ht="15" hidden="false" customHeight="false" outlineLevel="0" collapsed="false">
      <c r="A22" s="2" t="s">
        <v>625</v>
      </c>
      <c r="B22" s="3" t="s">
        <v>619</v>
      </c>
      <c r="C22" s="3" t="n">
        <f aca="false">COUNTIFS('Sale Agreed'!$D$2:$D$231,"*",'Sale Agreed'!$B$2:$B$231,2)</f>
        <v>100</v>
      </c>
      <c r="D22" s="4" t="n">
        <f aca="false">IFERROR(AVERAGEIFS('Sale Agreed'!$C$2:$C$231,'Sale Agreed'!$D$2:$D$231,"*",'Sale Agreed'!$B$2:$B$231,2),"-")</f>
        <v>159297</v>
      </c>
      <c r="E22" s="4" t="n">
        <f aca="false" t="array" ref="E22:E22">IF(C22=0,"-",MEDIAN(IF(('Sale Agreed'!$D$2:$D$231&lt;&gt;"")*('Sale Agreed'!$B$2:$B$231=2),'Sale Agreed'!$C$2:$C$231)))</f>
        <v>147475</v>
      </c>
      <c r="F22" s="4" t="n">
        <f aca="false">IF(C22=0,"-",_xlfn.MINIFS('Sale Agreed'!$C$2:$C$231,'Sale Agreed'!$D$2:$D$231,"*",'Sale Agreed'!$B$2:$B$231,2))</f>
        <v>79950</v>
      </c>
      <c r="G22" s="4" t="n">
        <f aca="false">IF(C22=0,"-",_xlfn.MAXIFS('Sale Agreed'!$C$2:$C$231,'Sale Agreed'!$D$2:$D$231,"*",'Sale Agreed'!$B$2:$B$231,2))</f>
        <v>335000</v>
      </c>
    </row>
    <row r="23" customFormat="false" ht="15" hidden="false" customHeight="false" outlineLevel="0" collapsed="false">
      <c r="A23" s="2" t="s">
        <v>625</v>
      </c>
      <c r="B23" s="3" t="s">
        <v>620</v>
      </c>
      <c r="C23" s="3" t="n">
        <f aca="false">COUNTIFS('Sale Agreed'!$D$2:$D$231,"*",'Sale Agreed'!$B$2:$B$231,3)</f>
        <v>92</v>
      </c>
      <c r="D23" s="4" t="n">
        <f aca="false">IFERROR(AVERAGEIFS('Sale Agreed'!$C$2:$C$231,'Sale Agreed'!$D$2:$D$231,"*",'Sale Agreed'!$B$2:$B$231,3),"-")</f>
        <v>176689.130434783</v>
      </c>
      <c r="E23" s="4" t="n">
        <f aca="false" t="array" ref="E23:E23">IF(C23=0,"-",MEDIAN(IF(('Sale Agreed'!$D$2:$D$231&lt;&gt;"")*('Sale Agreed'!$B$2:$B$231=3),'Sale Agreed'!$C$2:$C$231)))</f>
        <v>159975</v>
      </c>
      <c r="F23" s="4" t="n">
        <f aca="false">IF(C23=0,"-",_xlfn.MINIFS('Sale Agreed'!$C$2:$C$231,'Sale Agreed'!$D$2:$D$231,"*",'Sale Agreed'!$B$2:$B$231,3))</f>
        <v>59950</v>
      </c>
      <c r="G23" s="4" t="n">
        <f aca="false">IF(C23=0,"-",_xlfn.MAXIFS('Sale Agreed'!$C$2:$C$231,'Sale Agreed'!$D$2:$D$231,"*",'Sale Agreed'!$B$2:$B$231,3))</f>
        <v>399950</v>
      </c>
    </row>
    <row r="24" customFormat="false" ht="15" hidden="false" customHeight="false" outlineLevel="0" collapsed="false">
      <c r="A24" s="2" t="s">
        <v>625</v>
      </c>
      <c r="B24" s="3" t="s">
        <v>621</v>
      </c>
      <c r="C24" s="3" t="n">
        <f aca="false">COUNTIFS('Sale Agreed'!$D$2:$D$231,"*",'Sale Agreed'!$B$2:$B$231,4)</f>
        <v>26</v>
      </c>
      <c r="D24" s="4" t="n">
        <f aca="false">IFERROR(AVERAGEIFS('Sale Agreed'!$C$2:$C$231,'Sale Agreed'!$D$2:$D$231,"*",'Sale Agreed'!$B$2:$B$231,4),"-")</f>
        <v>198703.846153846</v>
      </c>
      <c r="E24" s="4" t="n">
        <f aca="false" t="array" ref="E24:E24">IF(C24=0,"-",MEDIAN(IF(('Sale Agreed'!$D$2:$D$231&lt;&gt;"")*('Sale Agreed'!$B$2:$B$231=4),'Sale Agreed'!$C$2:$C$231)))</f>
        <v>186225</v>
      </c>
      <c r="F24" s="4" t="n">
        <f aca="false">IF(C24=0,"-",_xlfn.MINIFS('Sale Agreed'!$C$2:$C$231,'Sale Agreed'!$D$2:$D$231,"*",'Sale Agreed'!$B$2:$B$231,4))</f>
        <v>119950</v>
      </c>
      <c r="G24" s="4" t="n">
        <f aca="false">IF(C24=0,"-",_xlfn.MAXIFS('Sale Agreed'!$C$2:$C$231,'Sale Agreed'!$D$2:$D$231,"*",'Sale Agreed'!$B$2:$B$231,4))</f>
        <v>384950</v>
      </c>
    </row>
    <row r="25" customFormat="false" ht="15" hidden="false" customHeight="false" outlineLevel="0" collapsed="false">
      <c r="A25" s="2" t="s">
        <v>625</v>
      </c>
      <c r="B25" s="3" t="s">
        <v>622</v>
      </c>
      <c r="C25" s="3" t="n">
        <f aca="false">COUNTIFS('Sale Agreed'!$D$2:$D$231,"*",'Sale Agreed'!$B$2:$B$231,5)</f>
        <v>7</v>
      </c>
      <c r="D25" s="4" t="n">
        <f aca="false">IFERROR(AVERAGEIFS('Sale Agreed'!$C$2:$C$231,'Sale Agreed'!$D$2:$D$231,"*",'Sale Agreed'!$B$2:$B$231,5),"-")</f>
        <v>369285.714285714</v>
      </c>
      <c r="E25" s="4" t="n">
        <f aca="false" t="array" ref="E25:E25">IF(C25=0,"-",MEDIAN(IF(('Sale Agreed'!$D$2:$D$231&lt;&gt;"")*('Sale Agreed'!$B$2:$B$231=5),'Sale Agreed'!$C$2:$C$231)))</f>
        <v>350000</v>
      </c>
      <c r="F25" s="4" t="n">
        <f aca="false">IF(C25=0,"-",_xlfn.MINIFS('Sale Agreed'!$C$2:$C$231,'Sale Agreed'!$D$2:$D$231,"*",'Sale Agreed'!$B$2:$B$231,5))</f>
        <v>225000</v>
      </c>
      <c r="G25" s="4" t="n">
        <f aca="false">IF(C25=0,"-",_xlfn.MAXIFS('Sale Agreed'!$C$2:$C$231,'Sale Agreed'!$D$2:$D$231,"*",'Sale Agreed'!$B$2:$B$231,5))</f>
        <v>525000</v>
      </c>
    </row>
    <row r="26" customFormat="false" ht="15" hidden="false" customHeight="false" outlineLevel="0" collapsed="false">
      <c r="A26" s="2" t="s">
        <v>625</v>
      </c>
      <c r="B26" s="3" t="s">
        <v>623</v>
      </c>
      <c r="C26" s="3" t="n">
        <f aca="false">COUNTIFS('Sale Agreed'!$D$2:$D$231,"*",'Sale Agreed'!$B$2:$B$231,"&gt;=6")</f>
        <v>4</v>
      </c>
      <c r="D26" s="4" t="n">
        <f aca="false">IFERROR(AVERAGEIFS('Sale Agreed'!$C$2:$C$231,'Sale Agreed'!$D$2:$D$231,"*",'Sale Agreed'!$B$2:$B$231,"&gt;=6"),"-")</f>
        <v>439987.5</v>
      </c>
      <c r="E26" s="4" t="n">
        <f aca="false" t="array" ref="E26:E26">IF(C26=0,"-",MEDIAN(IF(('Sale Agreed'!$D$2:$D$231&lt;&gt;"")*('Sale Agreed'!$B$2:$B$231&gt;=6),'Sale Agreed'!$C$2:$C$231)))</f>
        <v>397475</v>
      </c>
      <c r="F26" s="4" t="n">
        <f aca="false">IF(C26=0,"-",_xlfn.MINIFS('Sale Agreed'!$C$2:$C$231,'Sale Agreed'!$D$2:$D$231,"*",'Sale Agreed'!$B$2:$B$231,"&gt;=6"))</f>
        <v>265000</v>
      </c>
      <c r="G26" s="4" t="n">
        <f aca="false">IF(C26=0,"-",_xlfn.MAXIFS('Sale Agreed'!$C$2:$C$231,'Sale Agreed'!$D$2:$D$231,"*",'Sale Agreed'!$B$2:$B$231,"&gt;=6"))</f>
        <v>700000</v>
      </c>
    </row>
    <row r="27" customFormat="false" ht="15" hidden="false" customHeight="false" outlineLevel="0" collapsed="false">
      <c r="A27" s="9" t="s">
        <v>625</v>
      </c>
      <c r="B27" s="10" t="s">
        <v>624</v>
      </c>
      <c r="C27" s="10" t="n">
        <f aca="false">SUM(C21:C26)</f>
        <v>230</v>
      </c>
      <c r="D27" s="11" t="n">
        <f aca="false">IFERROR(AVERAGEIFS('Sale Agreed'!$C$2:$C$231,'Sale Agreed'!$D$2:$D$231,"*"),"-")</f>
        <v>181657.826086957</v>
      </c>
      <c r="E27" s="11" t="n">
        <f aca="false" t="array" ref="E27:E27">MEDIAN(IF(('Sale Agreed'!$D$2:$D$231&lt;&gt;""),'Sale Agreed'!$C$2:$C$231))</f>
        <v>167225</v>
      </c>
      <c r="F27" s="11" t="n">
        <f aca="false">_xlfn.MINIFS('Sale Agreed'!$C$2:$C$231,'Sale Agreed'!$D$2:$D$231,"*")</f>
        <v>59950</v>
      </c>
      <c r="G27" s="11" t="n">
        <f aca="false">_xlfn.MAXIFS('Sale Agreed'!$C$2:$C$231,'Sale Agreed'!$D$2:$D$231,"*")</f>
        <v>700000</v>
      </c>
    </row>
    <row r="28" customFormat="false" ht="15" hidden="false" customHeight="false" outlineLevel="0" collapsed="false">
      <c r="A28" s="2"/>
      <c r="B28" s="3"/>
      <c r="C28" s="3"/>
      <c r="D28" s="4"/>
      <c r="E28" s="4"/>
      <c r="F28" s="4"/>
      <c r="G28" s="4"/>
    </row>
    <row r="29" customFormat="false" ht="15" hidden="false" customHeight="false" outlineLevel="0" collapsed="false">
      <c r="A29" s="2"/>
      <c r="B29" s="3"/>
      <c r="C29" s="3"/>
      <c r="D29" s="4"/>
      <c r="E29" s="4"/>
      <c r="F29" s="4"/>
      <c r="G29"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2" t="s">
        <v>626</v>
      </c>
    </row>
    <row r="2" customFormat="false" ht="15" hidden="false" customHeight="false" outlineLevel="0" collapsed="false">
      <c r="A2" s="13"/>
    </row>
    <row r="3" customFormat="false" ht="15" hidden="false" customHeight="false" outlineLevel="0" collapsed="false">
      <c r="A3" s="13" t="s">
        <v>627</v>
      </c>
    </row>
    <row r="4" customFormat="false" ht="23.85" hidden="false" customHeight="false" outlineLevel="0" collapsed="false">
      <c r="A4" s="13" t="s">
        <v>628</v>
      </c>
    </row>
    <row r="5" customFormat="false" ht="35.05" hidden="false" customHeight="false" outlineLevel="0" collapsed="false">
      <c r="A5" s="13" t="s">
        <v>629</v>
      </c>
    </row>
    <row r="6" customFormat="false" ht="23.85" hidden="false" customHeight="false" outlineLevel="0" collapsed="false">
      <c r="A6" s="13" t="s">
        <v>630</v>
      </c>
    </row>
    <row r="7" customFormat="false" ht="15" hidden="false" customHeight="false" outlineLevel="0" collapsed="false">
      <c r="A7" s="13" t="s">
        <v>631</v>
      </c>
    </row>
    <row r="8" customFormat="false" ht="15" hidden="false" customHeight="false" outlineLevel="0" collapsed="false">
      <c r="A8" s="13" t="s">
        <v>632</v>
      </c>
    </row>
    <row r="9" customFormat="false" ht="15" hidden="false" customHeight="false" outlineLevel="0" collapsed="false">
      <c r="A9" s="13" t="s">
        <v>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2026-10-19T15:27:43Z</dcterms:created>
  <dc:creator>openpyxl</dc:creator>
  <dc:description/>
  <dc:language>en-US</dc:language>
  <cp:lastModifiedBy/>
  <dcterms:modified xsi:type="dcterms:W3CDTF">2026-10-19T15:27:43Z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